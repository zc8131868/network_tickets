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roject\自动运维\三化申请表\"/>
    </mc:Choice>
  </mc:AlternateContent>
  <xr:revisionPtr revIDLastSave="0" documentId="13_ncr:1_{4C23D2AA-4997-42B6-A9C8-CB8142A700FA}" xr6:coauthVersionLast="36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raffic" sheetId="2" r:id="rId1"/>
    <sheet name="OAM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3" l="1"/>
  <c r="I6" i="3" l="1"/>
  <c r="I8" i="2"/>
  <c r="I7" i="2"/>
  <c r="I6" i="2"/>
</calcChain>
</file>

<file path=xl/sharedStrings.xml><?xml version="1.0" encoding="utf-8"?>
<sst xmlns="http://schemas.openxmlformats.org/spreadsheetml/2006/main" count="78" uniqueCount="44">
  <si>
    <t xml:space="preserve">Project Title: </t>
  </si>
  <si>
    <t xml:space="preserve">Amended Date: </t>
  </si>
  <si>
    <t xml:space="preserve">By: </t>
  </si>
  <si>
    <t>Communication Channel list</t>
  </si>
  <si>
    <t xml:space="preserve">Approved by Manager : </t>
  </si>
  <si>
    <t>Source Node Name</t>
  </si>
  <si>
    <t>Direction</t>
  </si>
  <si>
    <t>Destination Node</t>
  </si>
  <si>
    <t>Port/services</t>
  </si>
  <si>
    <t>Remarks</t>
  </si>
  <si>
    <t>Requested by</t>
  </si>
  <si>
    <t>Team</t>
  </si>
  <si>
    <t>Date</t>
  </si>
  <si>
    <t>Source Node Description</t>
    <phoneticPr fontId="26" type="noConversion"/>
  </si>
  <si>
    <t>Destination Node Description</t>
    <phoneticPr fontId="26" type="noConversion"/>
  </si>
  <si>
    <t>三化平台</t>
    <phoneticPr fontId="26" type="noConversion"/>
  </si>
  <si>
    <t>Source Node IP</t>
    <phoneticPr fontId="26" type="noConversion"/>
  </si>
  <si>
    <t>Destination IP</t>
    <phoneticPr fontId="26" type="noConversion"/>
  </si>
  <si>
    <t>-&gt;</t>
    <phoneticPr fontId="26" type="noConversion"/>
  </si>
  <si>
    <t>三化平台，网关服务pods出口</t>
    <phoneticPr fontId="26" type="noConversion"/>
  </si>
  <si>
    <t>10.0.60.98</t>
    <phoneticPr fontId="26" type="noConversion"/>
  </si>
  <si>
    <t>TCP
80,
443</t>
    <phoneticPr fontId="26" type="noConversion"/>
  </si>
  <si>
    <t>TCP
30543,
30980</t>
    <phoneticPr fontId="26" type="noConversion"/>
  </si>
  <si>
    <t xml:space="preserve">10.0.60.199 </t>
    <phoneticPr fontId="26" type="noConversion"/>
  </si>
  <si>
    <t>三化平台，OAM服务网关入口</t>
    <phoneticPr fontId="26" type="noConversion"/>
  </si>
  <si>
    <t>三化平台网关，PRD环境</t>
    <phoneticPr fontId="26" type="noConversion"/>
  </si>
  <si>
    <t>数据库运维机器人管理平台，PRD环境</t>
    <phoneticPr fontId="26" type="noConversion"/>
  </si>
  <si>
    <t>数据库运维机器人管理平台，PRD环境服务入口</t>
    <phoneticPr fontId="26" type="noConversion"/>
  </si>
  <si>
    <t>10.0.18.151</t>
    <phoneticPr fontId="26" type="noConversion"/>
  </si>
  <si>
    <t>01/16/2026</t>
    <phoneticPr fontId="26" type="noConversion"/>
  </si>
  <si>
    <t>三化-APaaS平台，PRD环境</t>
    <phoneticPr fontId="26" type="noConversion"/>
  </si>
  <si>
    <t>三化-APaaS平台</t>
    <phoneticPr fontId="26" type="noConversion"/>
  </si>
  <si>
    <t>10.0.60.96</t>
    <phoneticPr fontId="26" type="noConversion"/>
  </si>
  <si>
    <t>三化平台网关，UAT环境</t>
    <phoneticPr fontId="26" type="noConversion"/>
  </si>
  <si>
    <t>三化平台，网关服务</t>
    <phoneticPr fontId="26" type="noConversion"/>
  </si>
  <si>
    <t>10.0.58.99</t>
    <phoneticPr fontId="26" type="noConversion"/>
  </si>
  <si>
    <t>数据库运维机器人管理平台，UAT环境</t>
    <phoneticPr fontId="26" type="noConversion"/>
  </si>
  <si>
    <t>数据库运维机器人管理平台，UAT环境服务入口</t>
    <phoneticPr fontId="26" type="noConversion"/>
  </si>
  <si>
    <t>10.0.18.150</t>
    <phoneticPr fontId="26" type="noConversion"/>
  </si>
  <si>
    <t>辦公OAM網絡訪問</t>
    <phoneticPr fontId="26" type="noConversion"/>
  </si>
  <si>
    <t>172.19.0.157</t>
    <phoneticPr fontId="26" type="noConversion"/>
  </si>
  <si>
    <t>172.19.0.126</t>
    <phoneticPr fontId="26" type="noConversion"/>
  </si>
  <si>
    <t>DESKTOP1</t>
    <phoneticPr fontId="26" type="noConversion"/>
  </si>
  <si>
    <t>DESKTOP2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</si>
</sst>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0"/>
      <color theme="1"/>
      <name val="等线"/>
      <family val="2"/>
      <scheme val="minor"/>
    </font>
    <font>
      <sz val="10"/>
      <color rgb="FF000000"/>
      <name val="等线"/>
      <family val="2"/>
      <scheme val="minor"/>
    </font>
    <font>
      <sz val="10"/>
      <color rgb="FFFF0000"/>
      <name val="等线"/>
      <family val="2"/>
      <scheme val="minor"/>
    </font>
    <font>
      <sz val="10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b/>
      <i/>
      <sz val="12"/>
      <color rgb="FFFF0000"/>
      <name val="等线"/>
      <family val="2"/>
      <scheme val="minor"/>
    </font>
    <font>
      <b/>
      <sz val="14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b/>
      <i/>
      <sz val="16"/>
      <color rgb="FFFF0000"/>
      <name val="等线"/>
      <family val="2"/>
      <scheme val="minor"/>
    </font>
    <font>
      <b/>
      <i/>
      <sz val="12"/>
      <color rgb="FFFF0000"/>
      <name val="等线"/>
      <family val="2"/>
      <scheme val="minor"/>
    </font>
    <font>
      <b/>
      <i/>
      <sz val="12"/>
      <color rgb="FFFF0000"/>
      <name val="等线"/>
      <family val="2"/>
      <scheme val="minor"/>
    </font>
    <font>
      <sz val="10"/>
      <color rgb="FFFF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333399"/>
      <name val="等线"/>
      <family val="2"/>
      <scheme val="minor"/>
    </font>
    <font>
      <sz val="12"/>
      <color rgb="FF000000"/>
      <name val="等线"/>
      <family val="2"/>
      <scheme val="minor"/>
    </font>
    <font>
      <b/>
      <i/>
      <sz val="12"/>
      <color rgb="FF000000"/>
      <name val="等线"/>
      <family val="2"/>
      <scheme val="minor"/>
    </font>
    <font>
      <b/>
      <sz val="14"/>
      <color rgb="FF000000"/>
      <name val="等线"/>
      <family val="2"/>
      <scheme val="minor"/>
    </font>
    <font>
      <b/>
      <sz val="10"/>
      <color rgb="FF000000"/>
      <name val="等线"/>
      <family val="2"/>
      <scheme val="minor"/>
    </font>
    <font>
      <b/>
      <sz val="10"/>
      <color rgb="FF000000"/>
      <name val="等线"/>
      <family val="2"/>
      <scheme val="minor"/>
    </font>
    <font>
      <b/>
      <sz val="10"/>
      <color rgb="FF000000"/>
      <name val="等线"/>
      <family val="2"/>
      <scheme val="minor"/>
    </font>
    <font>
      <sz val="9"/>
      <name val="等线"/>
      <family val="3"/>
      <charset val="136"/>
      <scheme val="minor"/>
    </font>
    <font>
      <sz val="10"/>
      <color rgb="FF000000"/>
      <name val="Microsoft YaHei"/>
      <family val="2"/>
      <charset val="134"/>
    </font>
    <font>
      <sz val="10"/>
      <color rgb="FFC00000"/>
      <name val="Microsoft YaHei"/>
      <family val="2"/>
      <charset val="134"/>
    </font>
    <font>
      <sz val="10"/>
      <color rgb="FFFF0000"/>
      <name val="Microsoft YaHei"/>
      <family val="2"/>
      <charset val="134"/>
    </font>
    <font>
      <sz val="10"/>
      <name val="Microsoft YaHei"/>
      <family val="2"/>
      <charset val="134"/>
    </font>
  </fonts>
  <fills count="27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rgb="FF99CCFF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35">
    <xf numFmtId="0" fontId="0" fillId="0" borderId="0" xfId="0" applyAlignment="1">
      <alignment vertical="center"/>
    </xf>
    <xf numFmtId="0" fontId="1" fillId="0" borderId="1" xfId="0" applyFont="1" applyBorder="1"/>
    <xf numFmtId="0" fontId="2" fillId="2" borderId="2" xfId="0" applyFont="1" applyFill="1" applyBorder="1"/>
    <xf numFmtId="0" fontId="3" fillId="3" borderId="3" xfId="0" applyFont="1" applyFill="1" applyBorder="1" applyAlignment="1">
      <alignment wrapText="1"/>
    </xf>
    <xf numFmtId="0" fontId="5" fillId="5" borderId="4" xfId="0" applyFont="1" applyFill="1" applyBorder="1"/>
    <xf numFmtId="49" fontId="6" fillId="6" borderId="5" xfId="0" applyNumberFormat="1" applyFont="1" applyFill="1" applyBorder="1"/>
    <xf numFmtId="0" fontId="7" fillId="7" borderId="6" xfId="0" applyFont="1" applyFill="1" applyBorder="1" applyAlignment="1">
      <alignment horizontal="center" wrapText="1"/>
    </xf>
    <xf numFmtId="49" fontId="8" fillId="8" borderId="7" xfId="0" applyNumberFormat="1" applyFont="1" applyFill="1" applyBorder="1"/>
    <xf numFmtId="49" fontId="9" fillId="9" borderId="8" xfId="0" applyNumberFormat="1" applyFont="1" applyFill="1" applyBorder="1" applyAlignment="1">
      <alignment vertical="top"/>
    </xf>
    <xf numFmtId="49" fontId="11" fillId="10" borderId="10" xfId="0" applyNumberFormat="1" applyFont="1" applyFill="1" applyBorder="1" applyAlignment="1">
      <alignment vertical="top"/>
    </xf>
    <xf numFmtId="49" fontId="12" fillId="11" borderId="11" xfId="0" applyNumberFormat="1" applyFont="1" applyFill="1" applyBorder="1"/>
    <xf numFmtId="15" fontId="13" fillId="12" borderId="12" xfId="0" applyNumberFormat="1" applyFont="1" applyFill="1" applyBorder="1"/>
    <xf numFmtId="0" fontId="14" fillId="13" borderId="13" xfId="0" applyFont="1" applyFill="1" applyBorder="1"/>
    <xf numFmtId="0" fontId="15" fillId="14" borderId="14" xfId="0" applyFont="1" applyFill="1" applyBorder="1" applyAlignment="1">
      <alignment wrapText="1"/>
    </xf>
    <xf numFmtId="0" fontId="16" fillId="15" borderId="15" xfId="0" applyFont="1" applyFill="1" applyBorder="1" applyAlignment="1">
      <alignment horizontal="center" wrapText="1"/>
    </xf>
    <xf numFmtId="0" fontId="17" fillId="16" borderId="16" xfId="0" applyFont="1" applyFill="1" applyBorder="1"/>
    <xf numFmtId="0" fontId="19" fillId="18" borderId="17" xfId="0" applyFont="1" applyFill="1" applyBorder="1"/>
    <xf numFmtId="49" fontId="20" fillId="19" borderId="18" xfId="0" applyNumberFormat="1" applyFont="1" applyFill="1" applyBorder="1"/>
    <xf numFmtId="0" fontId="21" fillId="20" borderId="19" xfId="0" applyFont="1" applyFill="1" applyBorder="1"/>
    <xf numFmtId="0" fontId="22" fillId="21" borderId="20" xfId="0" applyFont="1" applyFill="1" applyBorder="1" applyAlignment="1">
      <alignment vertical="top"/>
    </xf>
    <xf numFmtId="49" fontId="23" fillId="22" borderId="21" xfId="0" applyNumberFormat="1" applyFont="1" applyFill="1" applyBorder="1" applyAlignment="1">
      <alignment horizontal="left" vertical="top" wrapText="1"/>
    </xf>
    <xf numFmtId="49" fontId="25" fillId="25" borderId="23" xfId="0" applyNumberFormat="1" applyFont="1" applyFill="1" applyBorder="1" applyAlignment="1">
      <alignment horizontal="left" vertical="top" wrapText="1"/>
    </xf>
    <xf numFmtId="49" fontId="23" fillId="24" borderId="22" xfId="0" applyNumberFormat="1" applyFont="1" applyFill="1" applyBorder="1" applyAlignment="1">
      <alignment horizontal="left" vertical="top"/>
    </xf>
    <xf numFmtId="0" fontId="18" fillId="17" borderId="18" xfId="0" applyFont="1" applyFill="1" applyBorder="1"/>
    <xf numFmtId="0" fontId="4" fillId="4" borderId="22" xfId="0" applyFont="1" applyFill="1" applyBorder="1"/>
    <xf numFmtId="49" fontId="24" fillId="23" borderId="22" xfId="0" applyNumberFormat="1" applyFont="1" applyFill="1" applyBorder="1" applyAlignment="1">
      <alignment horizontal="left" vertical="top" wrapText="1"/>
    </xf>
    <xf numFmtId="0" fontId="27" fillId="0" borderId="9" xfId="0" applyNumberFormat="1" applyFont="1" applyBorder="1" applyAlignment="1">
      <alignment horizontal="left" vertical="center" wrapText="1"/>
    </xf>
    <xf numFmtId="0" fontId="0" fillId="26" borderId="0" xfId="0" applyFill="1" applyAlignment="1">
      <alignment vertical="center"/>
    </xf>
    <xf numFmtId="0" fontId="28" fillId="0" borderId="9" xfId="0" applyNumberFormat="1" applyFont="1" applyBorder="1" applyAlignment="1">
      <alignment horizontal="left" vertical="center" wrapText="1"/>
    </xf>
    <xf numFmtId="0" fontId="27" fillId="26" borderId="9" xfId="0" applyNumberFormat="1" applyFont="1" applyFill="1" applyBorder="1" applyAlignment="1">
      <alignment horizontal="left" vertical="center" wrapText="1"/>
    </xf>
    <xf numFmtId="0" fontId="29" fillId="0" borderId="9" xfId="0" applyNumberFormat="1" applyFont="1" applyBorder="1" applyAlignment="1">
      <alignment horizontal="left" vertical="center" wrapText="1"/>
    </xf>
    <xf numFmtId="0" fontId="30" fillId="0" borderId="9" xfId="0" applyNumberFormat="1" applyFont="1" applyBorder="1" applyAlignment="1">
      <alignment horizontal="left" vertical="center" wrapText="1"/>
    </xf>
    <xf numFmtId="0" fontId="10" fillId="0" borderId="22" xfId="0" applyFont="1" applyBorder="1" applyAlignment="1">
      <alignment vertical="center"/>
    </xf>
    <xf numFmtId="0" fontId="30" fillId="26" borderId="9" xfId="0" applyNumberFormat="1" applyFont="1" applyFill="1" applyBorder="1" applyAlignment="1">
      <alignment horizontal="left" vertical="center" wrapText="1"/>
    </xf>
    <xf numFmtId="0" fontId="10" fillId="26" borderId="22" xfId="0" applyFont="1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9"/>
  <sheetViews>
    <sheetView zoomScale="96" workbookViewId="0">
      <selection activeCell="E11" sqref="E11"/>
    </sheetView>
  </sheetViews>
  <sheetFormatPr defaultColWidth="14" defaultRowHeight="12.75"/>
  <cols>
    <col min="1" max="1" width="39" customWidth="1"/>
    <col min="2" max="2" width="40.28515625" bestFit="1" customWidth="1"/>
    <col min="3" max="3" width="26.7109375" customWidth="1"/>
    <col min="4" max="4" width="9" customWidth="1"/>
    <col min="5" max="5" width="30" customWidth="1"/>
    <col min="6" max="6" width="31" customWidth="1"/>
    <col min="7" max="7" width="27.7109375" bestFit="1" customWidth="1"/>
    <col min="8" max="8" width="30.7109375" customWidth="1"/>
    <col min="9" max="9" width="69" customWidth="1"/>
    <col min="10" max="10" width="13" customWidth="1"/>
    <col min="11" max="11" width="48" customWidth="1"/>
    <col min="12" max="12" width="13.28515625" customWidth="1"/>
    <col min="13" max="19" width="9" customWidth="1"/>
  </cols>
  <sheetData>
    <row r="1" spans="1:19" ht="23.1" customHeight="1" thickTop="1">
      <c r="A1" s="9" t="s">
        <v>0</v>
      </c>
      <c r="B1" s="16"/>
      <c r="C1" s="17"/>
      <c r="D1" s="14"/>
      <c r="E1" s="10" t="s">
        <v>1</v>
      </c>
      <c r="F1" s="11"/>
      <c r="G1" s="12"/>
      <c r="H1" s="10" t="s">
        <v>2</v>
      </c>
      <c r="I1" s="13"/>
      <c r="J1" s="15"/>
      <c r="K1" s="15"/>
      <c r="L1" s="23"/>
      <c r="M1" s="1"/>
      <c r="N1" s="1"/>
      <c r="O1" s="1"/>
      <c r="P1" s="1"/>
      <c r="Q1" s="1"/>
      <c r="R1" s="1"/>
      <c r="S1" s="1"/>
    </row>
    <row r="2" spans="1:19" ht="18.95" customHeight="1">
      <c r="A2" s="8" t="s">
        <v>3</v>
      </c>
      <c r="B2" s="4"/>
      <c r="C2" s="5"/>
      <c r="D2" s="6"/>
      <c r="E2" s="7" t="s">
        <v>4</v>
      </c>
      <c r="F2" s="2"/>
      <c r="G2" s="2"/>
      <c r="H2" s="3"/>
      <c r="I2" s="3"/>
      <c r="J2" s="4"/>
      <c r="K2" s="4"/>
      <c r="L2" s="24"/>
      <c r="M2" s="1"/>
      <c r="N2" s="1"/>
      <c r="O2" s="1"/>
      <c r="P2" s="1"/>
      <c r="Q2" s="1"/>
      <c r="R2" s="1"/>
      <c r="S2" s="1"/>
    </row>
    <row r="3" spans="1:19" ht="18.95" customHeight="1">
      <c r="A3" s="19"/>
      <c r="B3" s="4"/>
      <c r="C3" s="5"/>
      <c r="D3" s="6"/>
      <c r="E3" s="18"/>
      <c r="F3" s="4"/>
      <c r="G3" s="4"/>
      <c r="H3" s="3"/>
      <c r="I3" s="3"/>
      <c r="J3" s="4"/>
      <c r="K3" s="4"/>
      <c r="L3" s="24"/>
      <c r="M3" s="1"/>
      <c r="N3" s="1"/>
      <c r="O3" s="1"/>
      <c r="P3" s="1"/>
      <c r="Q3" s="1"/>
      <c r="R3" s="1"/>
      <c r="S3" s="1"/>
    </row>
    <row r="4" spans="1:19" ht="18.95" customHeight="1">
      <c r="A4" s="19"/>
      <c r="B4" s="4"/>
      <c r="C4" s="5"/>
      <c r="D4" s="6"/>
      <c r="E4" s="18"/>
      <c r="F4" s="4"/>
      <c r="G4" s="4"/>
      <c r="H4" s="3"/>
      <c r="I4" s="3"/>
      <c r="J4" s="4"/>
      <c r="K4" s="4"/>
      <c r="L4" s="24"/>
      <c r="M4" s="1"/>
      <c r="N4" s="1"/>
      <c r="O4" s="1"/>
      <c r="P4" s="1"/>
      <c r="Q4" s="1"/>
      <c r="R4" s="1"/>
      <c r="S4" s="1"/>
    </row>
    <row r="5" spans="1:19" ht="15.95" customHeight="1">
      <c r="A5" s="21" t="s">
        <v>5</v>
      </c>
      <c r="B5" s="20" t="s">
        <v>13</v>
      </c>
      <c r="C5" s="20" t="s">
        <v>16</v>
      </c>
      <c r="D5" s="20" t="s">
        <v>6</v>
      </c>
      <c r="E5" s="20" t="s">
        <v>7</v>
      </c>
      <c r="F5" s="20" t="s">
        <v>14</v>
      </c>
      <c r="G5" s="22" t="s">
        <v>17</v>
      </c>
      <c r="H5" s="20" t="s">
        <v>8</v>
      </c>
      <c r="I5" s="20" t="s">
        <v>9</v>
      </c>
      <c r="J5" s="20" t="s">
        <v>10</v>
      </c>
      <c r="K5" s="20" t="s">
        <v>11</v>
      </c>
      <c r="L5" s="25" t="s">
        <v>12</v>
      </c>
      <c r="M5" s="1"/>
      <c r="N5" s="1"/>
      <c r="O5" s="1"/>
      <c r="P5" s="1"/>
      <c r="Q5" s="1"/>
      <c r="R5" s="1"/>
      <c r="S5" s="1"/>
    </row>
    <row r="6" spans="1:19" ht="49.5">
      <c r="A6" s="31" t="s">
        <v>25</v>
      </c>
      <c r="B6" s="31" t="s">
        <v>19</v>
      </c>
      <c r="C6" s="31" t="s">
        <v>20</v>
      </c>
      <c r="D6" s="31" t="s">
        <v>18</v>
      </c>
      <c r="E6" s="31" t="s">
        <v>26</v>
      </c>
      <c r="F6" s="31" t="s">
        <v>27</v>
      </c>
      <c r="G6" s="31" t="s">
        <v>28</v>
      </c>
      <c r="H6" s="31" t="s">
        <v>21</v>
      </c>
      <c r="I6" s="31" t="str">
        <f t="shared" ref="I6:I7" si="0">(A6&amp; " access " &amp;F6)</f>
        <v>三化平台网关，PRD环境 access 数据库运维机器人管理平台，PRD环境服务入口</v>
      </c>
      <c r="J6" s="31"/>
      <c r="K6" s="31"/>
      <c r="L6" s="31" t="s">
        <v>29</v>
      </c>
      <c r="M6" s="32"/>
      <c r="N6" s="32"/>
      <c r="O6" s="32"/>
      <c r="P6" s="32"/>
      <c r="Q6" s="32"/>
      <c r="R6" s="32"/>
      <c r="S6" s="32"/>
    </row>
    <row r="7" spans="1:19" ht="49.5">
      <c r="A7" s="31" t="s">
        <v>30</v>
      </c>
      <c r="B7" s="31" t="s">
        <v>31</v>
      </c>
      <c r="C7" s="31" t="s">
        <v>32</v>
      </c>
      <c r="D7" s="31" t="s">
        <v>18</v>
      </c>
      <c r="E7" s="31" t="s">
        <v>26</v>
      </c>
      <c r="F7" s="31" t="s">
        <v>27</v>
      </c>
      <c r="G7" s="31" t="s">
        <v>28</v>
      </c>
      <c r="H7" s="31" t="s">
        <v>21</v>
      </c>
      <c r="I7" s="31" t="str">
        <f t="shared" si="0"/>
        <v>三化-APaaS平台，PRD环境 access 数据库运维机器人管理平台，PRD环境服务入口</v>
      </c>
      <c r="J7" s="31"/>
      <c r="K7" s="31"/>
      <c r="L7" s="31" t="s">
        <v>29</v>
      </c>
      <c r="M7" s="32"/>
      <c r="N7" s="32"/>
      <c r="O7" s="32"/>
      <c r="P7" s="32"/>
      <c r="Q7" s="32"/>
      <c r="R7" s="32"/>
      <c r="S7" s="32"/>
    </row>
    <row r="8" spans="1:19" ht="49.5">
      <c r="A8" s="31" t="s">
        <v>33</v>
      </c>
      <c r="B8" s="31" t="s">
        <v>34</v>
      </c>
      <c r="C8" s="31" t="s">
        <v>35</v>
      </c>
      <c r="D8" s="31" t="s">
        <v>18</v>
      </c>
      <c r="E8" s="31" t="s">
        <v>36</v>
      </c>
      <c r="F8" s="31" t="s">
        <v>37</v>
      </c>
      <c r="G8" s="31" t="s">
        <v>38</v>
      </c>
      <c r="H8" s="31" t="s">
        <v>21</v>
      </c>
      <c r="I8" s="31" t="str">
        <f>(A8&amp; " access " &amp;F8)</f>
        <v>三化平台网关，UAT环境 access 数据库运维机器人管理平台，UAT环境服务入口</v>
      </c>
      <c r="J8" s="31"/>
      <c r="K8" s="31"/>
      <c r="L8" s="31" t="s">
        <v>29</v>
      </c>
      <c r="M8" s="32"/>
      <c r="N8" s="32"/>
      <c r="O8" s="32"/>
      <c r="P8" s="32"/>
      <c r="Q8" s="32"/>
      <c r="R8" s="32"/>
      <c r="S8" s="32"/>
    </row>
    <row r="9" spans="1:19" ht="16.5">
      <c r="A9" s="30"/>
      <c r="B9" s="26"/>
      <c r="C9" s="26"/>
      <c r="D9" s="28"/>
      <c r="E9" s="26"/>
      <c r="F9" s="26"/>
      <c r="G9" s="30"/>
      <c r="H9" s="26"/>
      <c r="I9" s="26"/>
      <c r="J9" s="26"/>
      <c r="K9" s="26"/>
      <c r="L9" s="26"/>
      <c r="M9" s="32"/>
      <c r="N9" s="32"/>
      <c r="O9" s="32"/>
      <c r="P9" s="32"/>
      <c r="Q9" s="32"/>
      <c r="R9" s="32"/>
      <c r="S9" s="32"/>
    </row>
  </sheetData>
  <phoneticPr fontId="26" type="noConversion"/>
  <pageMargins left="0.7" right="0.7" top="0.75" bottom="0.75" header="0.3" footer="0.3"/>
  <pageSetup paperSize="9"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3103B-9A77-4C82-AF09-79758B5F1971}">
  <dimension ref="A1:S7"/>
  <sheetViews>
    <sheetView tabSelected="1" workbookViewId="0">
      <selection activeCell="B15" sqref="B15"/>
    </sheetView>
  </sheetViews>
  <sheetFormatPr defaultColWidth="14" defaultRowHeight="12.75"/>
  <cols>
    <col min="1" max="1" width="40.7109375" bestFit="1" customWidth="1"/>
    <col min="2" max="2" width="40.28515625" bestFit="1" customWidth="1"/>
    <col min="3" max="3" width="26.7109375" customWidth="1"/>
    <col min="4" max="4" width="9" customWidth="1"/>
    <col min="5" max="5" width="30" customWidth="1"/>
    <col min="6" max="6" width="30.85546875" bestFit="1" customWidth="1"/>
    <col min="7" max="7" width="27.7109375" bestFit="1" customWidth="1"/>
    <col min="8" max="8" width="30.7109375" customWidth="1"/>
    <col min="9" max="9" width="69" customWidth="1"/>
    <col min="10" max="10" width="13" customWidth="1"/>
    <col min="11" max="11" width="48" customWidth="1"/>
    <col min="12" max="12" width="13.28515625" customWidth="1"/>
    <col min="13" max="19" width="9" customWidth="1"/>
  </cols>
  <sheetData>
    <row r="1" spans="1:19" ht="23.1" customHeight="1" thickTop="1">
      <c r="A1" s="9" t="s">
        <v>0</v>
      </c>
      <c r="B1" s="16"/>
      <c r="C1" s="17"/>
      <c r="D1" s="14"/>
      <c r="E1" s="10" t="s">
        <v>1</v>
      </c>
      <c r="F1" s="11"/>
      <c r="G1" s="12"/>
      <c r="H1" s="10" t="s">
        <v>2</v>
      </c>
      <c r="I1" s="13"/>
      <c r="J1" s="15"/>
      <c r="K1" s="15"/>
      <c r="L1" s="23"/>
      <c r="M1" s="1"/>
      <c r="N1" s="1"/>
      <c r="O1" s="1"/>
      <c r="P1" s="1"/>
      <c r="Q1" s="1"/>
      <c r="R1" s="1"/>
      <c r="S1" s="1"/>
    </row>
    <row r="2" spans="1:19" ht="18.95" customHeight="1">
      <c r="A2" s="8" t="s">
        <v>3</v>
      </c>
      <c r="B2" s="4"/>
      <c r="C2" s="5"/>
      <c r="D2" s="6"/>
      <c r="E2" s="7" t="s">
        <v>4</v>
      </c>
      <c r="F2" s="2"/>
      <c r="G2" s="2"/>
      <c r="H2" s="3"/>
      <c r="I2" s="3"/>
      <c r="J2" s="4"/>
      <c r="K2" s="4"/>
      <c r="L2" s="24"/>
      <c r="M2" s="1"/>
      <c r="N2" s="1"/>
      <c r="O2" s="1"/>
      <c r="P2" s="1"/>
      <c r="Q2" s="1"/>
      <c r="R2" s="1"/>
      <c r="S2" s="1"/>
    </row>
    <row r="3" spans="1:19" ht="18.95" customHeight="1">
      <c r="A3" s="19"/>
      <c r="B3" s="4"/>
      <c r="C3" s="5"/>
      <c r="D3" s="6"/>
      <c r="E3" s="18"/>
      <c r="F3" s="4"/>
      <c r="G3" s="4"/>
      <c r="H3" s="3"/>
      <c r="I3" s="3"/>
      <c r="J3" s="4"/>
      <c r="K3" s="4"/>
      <c r="L3" s="24"/>
      <c r="M3" s="1"/>
      <c r="N3" s="1"/>
      <c r="O3" s="1"/>
      <c r="P3" s="1"/>
      <c r="Q3" s="1"/>
      <c r="R3" s="1"/>
      <c r="S3" s="1"/>
    </row>
    <row r="4" spans="1:19" ht="18.95" customHeight="1">
      <c r="A4" s="19"/>
      <c r="B4" s="4"/>
      <c r="C4" s="5"/>
      <c r="D4" s="6"/>
      <c r="E4" s="18"/>
      <c r="F4" s="4"/>
      <c r="G4" s="4"/>
      <c r="H4" s="3"/>
      <c r="I4" s="3"/>
      <c r="J4" s="4"/>
      <c r="K4" s="4"/>
      <c r="L4" s="24"/>
      <c r="M4" s="1"/>
      <c r="N4" s="1"/>
      <c r="O4" s="1"/>
      <c r="P4" s="1"/>
      <c r="Q4" s="1"/>
      <c r="R4" s="1"/>
      <c r="S4" s="1"/>
    </row>
    <row r="5" spans="1:19" ht="15.95" customHeight="1">
      <c r="A5" s="21" t="s">
        <v>5</v>
      </c>
      <c r="B5" s="20" t="s">
        <v>13</v>
      </c>
      <c r="C5" s="20" t="s">
        <v>16</v>
      </c>
      <c r="D5" s="20" t="s">
        <v>6</v>
      </c>
      <c r="E5" s="20" t="s">
        <v>7</v>
      </c>
      <c r="F5" s="20" t="s">
        <v>14</v>
      </c>
      <c r="G5" s="22" t="s">
        <v>17</v>
      </c>
      <c r="H5" s="20" t="s">
        <v>8</v>
      </c>
      <c r="I5" s="20" t="s">
        <v>9</v>
      </c>
      <c r="J5" s="20" t="s">
        <v>10</v>
      </c>
      <c r="K5" s="20" t="s">
        <v>11</v>
      </c>
      <c r="L5" s="25" t="s">
        <v>12</v>
      </c>
      <c r="M5" s="1"/>
      <c r="N5" s="1"/>
      <c r="O5" s="1"/>
      <c r="P5" s="1"/>
      <c r="Q5" s="1"/>
      <c r="R5" s="1"/>
      <c r="S5" s="1"/>
    </row>
    <row r="6" spans="1:19" s="27" customFormat="1" ht="49.5">
      <c r="A6" s="31" t="s">
        <v>39</v>
      </c>
      <c r="B6" s="33" t="s">
        <v>42</v>
      </c>
      <c r="C6" s="33" t="s">
        <v>40</v>
      </c>
      <c r="D6" s="33" t="s">
        <v>18</v>
      </c>
      <c r="E6" s="31" t="s">
        <v>15</v>
      </c>
      <c r="F6" s="31" t="s">
        <v>24</v>
      </c>
      <c r="G6" s="33" t="s">
        <v>23</v>
      </c>
      <c r="H6" s="31" t="s">
        <v>22</v>
      </c>
      <c r="I6" s="33" t="str">
        <f>(A6&amp; " access " &amp;F6)</f>
        <v>辦公OAM網絡訪問 access 三化平台，OAM服务网关入口</v>
      </c>
      <c r="J6" s="33"/>
      <c r="K6" s="33"/>
      <c r="L6" s="33" t="s">
        <v>29</v>
      </c>
      <c r="M6" s="34"/>
      <c r="N6" s="34"/>
      <c r="O6" s="34"/>
      <c r="P6" s="34"/>
      <c r="Q6" s="34"/>
      <c r="R6" s="34"/>
      <c r="S6" s="34"/>
    </row>
    <row r="7" spans="1:19" s="27" customFormat="1" ht="49.5">
      <c r="A7" s="31" t="s">
        <v>39</v>
      </c>
      <c r="B7" s="33" t="s">
        <v>43</v>
      </c>
      <c r="C7" s="33" t="s">
        <v>41</v>
      </c>
      <c r="D7" s="33" t="s">
        <v>18</v>
      </c>
      <c r="E7" s="31" t="s">
        <v>15</v>
      </c>
      <c r="F7" s="31" t="s">
        <v>24</v>
      </c>
      <c r="G7" s="33" t="s">
        <v>23</v>
      </c>
      <c r="H7" s="31" t="s">
        <v>22</v>
      </c>
      <c r="I7" s="33" t="str">
        <f>(A7&amp; " access " &amp;F7)</f>
        <v>辦公OAM網絡訪問 access 三化平台，OAM服务网关入口</v>
      </c>
      <c r="J7" s="29"/>
      <c r="K7" s="29"/>
      <c r="L7" s="29"/>
      <c r="M7" s="34"/>
      <c r="N7" s="34"/>
      <c r="O7" s="34"/>
      <c r="P7" s="34"/>
      <c r="Q7" s="34"/>
      <c r="R7" s="34"/>
      <c r="S7" s="34"/>
    </row>
  </sheetData>
  <phoneticPr fontId="2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Traffic</vt:lpstr>
      <vt:lpstr>OAM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 CHEN Guohua</dc:creator>
  <cp:lastModifiedBy>Barnett ZHONG Junjie</cp:lastModifiedBy>
  <dcterms:created xsi:type="dcterms:W3CDTF">2024-09-25T02:35:24Z</dcterms:created>
  <dcterms:modified xsi:type="dcterms:W3CDTF">2026-01-19T02:25:40Z</dcterms:modified>
</cp:coreProperties>
</file>