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7873\Downloads\"/>
    </mc:Choice>
  </mc:AlternateContent>
  <xr:revisionPtr revIDLastSave="0" documentId="13_ncr:1_{2D1F7D68-3180-4940-B3C3-5AF36A15DDD8}" xr6:coauthVersionLast="36" xr6:coauthVersionMax="36" xr10:uidLastSave="{00000000-0000-0000-0000-000000000000}"/>
  <bookViews>
    <workbookView xWindow="0" yWindow="0" windowWidth="19200" windowHeight="7360" activeTab="1" xr2:uid="{00000000-000D-0000-FFFF-FFFF00000000}"/>
  </bookViews>
  <sheets>
    <sheet name="Traffic" sheetId="2" r:id="rId1"/>
    <sheet name="OAM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  <c r="I7" i="3" l="1"/>
  <c r="I6" i="3"/>
  <c r="I6" i="2" l="1"/>
</calcChain>
</file>

<file path=xl/sharedStrings.xml><?xml version="1.0" encoding="utf-8"?>
<sst xmlns="http://schemas.openxmlformats.org/spreadsheetml/2006/main" count="90" uniqueCount="50">
  <si>
    <t xml:space="preserve">Project Title: </t>
  </si>
  <si>
    <t xml:space="preserve">Amended Date: </t>
  </si>
  <si>
    <t xml:space="preserve">By: </t>
  </si>
  <si>
    <t>Communication Channel list</t>
  </si>
  <si>
    <t xml:space="preserve">Approved by Manager : </t>
  </si>
  <si>
    <t>Source Node Name</t>
  </si>
  <si>
    <t>Direction</t>
  </si>
  <si>
    <t>Destination Node</t>
  </si>
  <si>
    <t>Port/services</t>
  </si>
  <si>
    <t>Remarks</t>
  </si>
  <si>
    <t>Requested by</t>
  </si>
  <si>
    <t>Team</t>
  </si>
  <si>
    <t>Date</t>
  </si>
  <si>
    <t>Source Node Description</t>
    <phoneticPr fontId="26" type="noConversion"/>
  </si>
  <si>
    <t>Destination Node Description</t>
    <phoneticPr fontId="26" type="noConversion"/>
  </si>
  <si>
    <t>三化平台</t>
    <phoneticPr fontId="26" type="noConversion"/>
  </si>
  <si>
    <t>Source Node IP</t>
    <phoneticPr fontId="26" type="noConversion"/>
  </si>
  <si>
    <t>Destination IP</t>
    <phoneticPr fontId="26" type="noConversion"/>
  </si>
  <si>
    <t>-&gt;</t>
    <phoneticPr fontId="26" type="noConversion"/>
  </si>
  <si>
    <t>10.0.17.78</t>
    <phoneticPr fontId="26" type="noConversion"/>
  </si>
  <si>
    <t>Howard</t>
    <phoneticPr fontId="26" type="noConversion"/>
  </si>
  <si>
    <t>IT &amp; Digital Intelligence Empowerment Division</t>
    <phoneticPr fontId="26" type="noConversion"/>
  </si>
  <si>
    <t>05/12/2024</t>
    <phoneticPr fontId="26" type="noConversion"/>
  </si>
  <si>
    <t>三化平台，网关服务pods出口</t>
    <phoneticPr fontId="26" type="noConversion"/>
  </si>
  <si>
    <t>10.0.60.98</t>
    <phoneticPr fontId="26" type="noConversion"/>
  </si>
  <si>
    <t>172.23.4.xxx</t>
    <phoneticPr fontId="26" type="noConversion"/>
  </si>
  <si>
    <t>VPN：pvpn.hk.chinamobile.com/xxxx</t>
    <phoneticPr fontId="26" type="noConversion"/>
  </si>
  <si>
    <t>172.19.0.xxx</t>
    <phoneticPr fontId="26" type="noConversion"/>
  </si>
  <si>
    <t>能力调用方系统, 服务出口</t>
    <phoneticPr fontId="26" type="noConversion"/>
  </si>
  <si>
    <t>案例2：调用方系统</t>
    <phoneticPr fontId="26" type="noConversion"/>
  </si>
  <si>
    <t>三化平台，网关服务入口</t>
    <phoneticPr fontId="26" type="noConversion"/>
  </si>
  <si>
    <t>10.0.60.99</t>
    <phoneticPr fontId="26" type="noConversion"/>
  </si>
  <si>
    <t>能力提供方系统</t>
    <phoneticPr fontId="26" type="noConversion"/>
  </si>
  <si>
    <t>能力提供方系统，服务入口</t>
    <phoneticPr fontId="26" type="noConversion"/>
  </si>
  <si>
    <t>TCP
80,
443</t>
    <phoneticPr fontId="26" type="noConversion"/>
  </si>
  <si>
    <t>TCP
30543,
30980</t>
    <phoneticPr fontId="26" type="noConversion"/>
  </si>
  <si>
    <t>10.0.xx.xx</t>
    <phoneticPr fontId="26" type="noConversion"/>
  </si>
  <si>
    <t>staff PC</t>
    <phoneticPr fontId="26" type="noConversion"/>
  </si>
  <si>
    <t>10.0.60.199</t>
    <phoneticPr fontId="26" type="noConversion"/>
  </si>
  <si>
    <t xml:space="preserve">10.0.60.199 </t>
    <phoneticPr fontId="26" type="noConversion"/>
  </si>
  <si>
    <t>三化平台，OAM服务网关入口</t>
    <phoneticPr fontId="26" type="noConversion"/>
  </si>
  <si>
    <t>案例1：三化平台网关</t>
    <phoneticPr fontId="26" type="noConversion"/>
  </si>
  <si>
    <t>案例2：辦公OAM網絡訪問</t>
    <phoneticPr fontId="26" type="noConversion"/>
  </si>
  <si>
    <t>案例1：VPN OAM 網絡訪問</t>
    <phoneticPr fontId="26" type="noConversion"/>
  </si>
  <si>
    <t>09/01/2026</t>
    <phoneticPr fontId="26" type="noConversion"/>
  </si>
  <si>
    <t>DICT</t>
    <phoneticPr fontId="26" type="noConversion"/>
  </si>
  <si>
    <t>Jian</t>
    <phoneticPr fontId="26" type="noConversion"/>
  </si>
  <si>
    <t>客服saas平台访问三化</t>
    <phoneticPr fontId="26" type="noConversion"/>
  </si>
  <si>
    <t>客服saas平台eip</t>
    <phoneticPr fontId="26" type="noConversion"/>
  </si>
  <si>
    <t>10.250.240.143
10.250.240.79
10.250.240.187
10.250.240.89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</si>
</sst>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theme="1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FF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b/>
      <sz val="14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b/>
      <i/>
      <sz val="16"/>
      <color rgb="FFFF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sz val="10"/>
      <color rgb="FFFF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333399"/>
      <name val="新細明體"/>
      <family val="2"/>
      <scheme val="minor"/>
    </font>
    <font>
      <sz val="12"/>
      <color rgb="FF000000"/>
      <name val="新細明體"/>
      <family val="2"/>
      <scheme val="minor"/>
    </font>
    <font>
      <b/>
      <i/>
      <sz val="12"/>
      <color rgb="FF000000"/>
      <name val="新細明體"/>
      <family val="2"/>
      <scheme val="minor"/>
    </font>
    <font>
      <b/>
      <sz val="14"/>
      <color rgb="FF000000"/>
      <name val="新細明體"/>
      <family val="2"/>
      <scheme val="minor"/>
    </font>
    <font>
      <b/>
      <sz val="10"/>
      <color rgb="FF000000"/>
      <name val="新細明體"/>
      <family val="2"/>
      <scheme val="minor"/>
    </font>
    <font>
      <b/>
      <sz val="10"/>
      <color rgb="FF000000"/>
      <name val="新細明體"/>
      <family val="2"/>
      <scheme val="minor"/>
    </font>
    <font>
      <b/>
      <sz val="10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000000"/>
      <name val="Microsoft YaHei"/>
      <family val="2"/>
      <charset val="134"/>
    </font>
    <font>
      <sz val="10"/>
      <color rgb="FFC0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b/>
      <i/>
      <sz val="12"/>
      <color rgb="FFFF0000"/>
      <name val="Microsoft YaHei"/>
      <family val="2"/>
      <charset val="134"/>
    </font>
    <font>
      <sz val="10"/>
      <color theme="1"/>
      <name val="Microsoft YaHei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8">
    <xf numFmtId="0" fontId="0" fillId="0" borderId="0" xfId="0" applyAlignment="1">
      <alignment vertical="center"/>
    </xf>
    <xf numFmtId="0" fontId="1" fillId="0" borderId="1" xfId="0" applyFont="1" applyBorder="1" applyAlignment="1"/>
    <xf numFmtId="0" fontId="2" fillId="2" borderId="2" xfId="0" applyFont="1" applyFill="1" applyBorder="1" applyAlignment="1"/>
    <xf numFmtId="0" fontId="3" fillId="3" borderId="3" xfId="0" applyFont="1" applyFill="1" applyBorder="1" applyAlignment="1">
      <alignment wrapText="1"/>
    </xf>
    <xf numFmtId="0" fontId="5" fillId="5" borderId="4" xfId="0" applyFont="1" applyFill="1" applyBorder="1" applyAlignment="1"/>
    <xf numFmtId="49" fontId="6" fillId="6" borderId="5" xfId="0" applyNumberFormat="1" applyFont="1" applyFill="1" applyBorder="1" applyAlignment="1"/>
    <xf numFmtId="0" fontId="7" fillId="7" borderId="6" xfId="0" applyFont="1" applyFill="1" applyBorder="1" applyAlignment="1">
      <alignment horizontal="center" wrapText="1"/>
    </xf>
    <xf numFmtId="49" fontId="8" fillId="8" borderId="7" xfId="0" applyNumberFormat="1" applyFont="1" applyFill="1" applyBorder="1" applyAlignment="1"/>
    <xf numFmtId="49" fontId="9" fillId="9" borderId="8" xfId="0" applyNumberFormat="1" applyFont="1" applyFill="1" applyBorder="1" applyAlignment="1">
      <alignment vertical="top"/>
    </xf>
    <xf numFmtId="0" fontId="10" fillId="0" borderId="9" xfId="0" applyFont="1" applyBorder="1" applyAlignment="1">
      <alignment vertical="center"/>
    </xf>
    <xf numFmtId="49" fontId="11" fillId="10" borderId="11" xfId="0" applyNumberFormat="1" applyFont="1" applyFill="1" applyBorder="1" applyAlignment="1">
      <alignment vertical="top"/>
    </xf>
    <xf numFmtId="49" fontId="12" fillId="11" borderId="12" xfId="0" applyNumberFormat="1" applyFont="1" applyFill="1" applyBorder="1" applyAlignment="1"/>
    <xf numFmtId="15" fontId="13" fillId="12" borderId="13" xfId="0" applyNumberFormat="1" applyFont="1" applyFill="1" applyBorder="1" applyAlignment="1"/>
    <xf numFmtId="0" fontId="14" fillId="13" borderId="14" xfId="0" applyFont="1" applyFill="1" applyBorder="1" applyAlignment="1"/>
    <xf numFmtId="0" fontId="15" fillId="14" borderId="15" xfId="0" applyFont="1" applyFill="1" applyBorder="1" applyAlignment="1">
      <alignment wrapText="1"/>
    </xf>
    <xf numFmtId="0" fontId="16" fillId="15" borderId="16" xfId="0" applyFont="1" applyFill="1" applyBorder="1" applyAlignment="1">
      <alignment horizontal="center" wrapText="1"/>
    </xf>
    <xf numFmtId="0" fontId="17" fillId="16" borderId="17" xfId="0" applyFont="1" applyFill="1" applyBorder="1" applyAlignment="1"/>
    <xf numFmtId="0" fontId="19" fillId="18" borderId="18" xfId="0" applyFont="1" applyFill="1" applyBorder="1" applyAlignment="1"/>
    <xf numFmtId="49" fontId="20" fillId="19" borderId="19" xfId="0" applyNumberFormat="1" applyFont="1" applyFill="1" applyBorder="1" applyAlignment="1"/>
    <xf numFmtId="0" fontId="21" fillId="20" borderId="20" xfId="0" applyFont="1" applyFill="1" applyBorder="1" applyAlignment="1"/>
    <xf numFmtId="0" fontId="22" fillId="21" borderId="21" xfId="0" applyFont="1" applyFill="1" applyBorder="1" applyAlignment="1">
      <alignment vertical="top"/>
    </xf>
    <xf numFmtId="49" fontId="23" fillId="22" borderId="22" xfId="0" applyNumberFormat="1" applyFont="1" applyFill="1" applyBorder="1" applyAlignment="1">
      <alignment horizontal="left" vertical="top" wrapText="1"/>
    </xf>
    <xf numFmtId="49" fontId="25" fillId="25" borderId="24" xfId="0" applyNumberFormat="1" applyFont="1" applyFill="1" applyBorder="1" applyAlignment="1">
      <alignment horizontal="left" vertical="top" wrapText="1"/>
    </xf>
    <xf numFmtId="49" fontId="23" fillId="24" borderId="23" xfId="0" applyNumberFormat="1" applyFont="1" applyFill="1" applyBorder="1" applyAlignment="1">
      <alignment horizontal="left" vertical="top"/>
    </xf>
    <xf numFmtId="0" fontId="18" fillId="17" borderId="19" xfId="0" applyFont="1" applyFill="1" applyBorder="1" applyAlignment="1"/>
    <xf numFmtId="0" fontId="4" fillId="4" borderId="23" xfId="0" applyFont="1" applyFill="1" applyBorder="1" applyAlignment="1"/>
    <xf numFmtId="49" fontId="24" fillId="23" borderId="23" xfId="0" applyNumberFormat="1" applyFont="1" applyFill="1" applyBorder="1" applyAlignment="1">
      <alignment horizontal="left" vertical="top" wrapText="1"/>
    </xf>
    <xf numFmtId="0" fontId="27" fillId="0" borderId="10" xfId="0" applyNumberFormat="1" applyFont="1" applyBorder="1" applyAlignment="1">
      <alignment horizontal="left" vertical="center" wrapText="1"/>
    </xf>
    <xf numFmtId="0" fontId="0" fillId="26" borderId="0" xfId="0" applyFill="1" applyAlignment="1">
      <alignment vertical="center"/>
    </xf>
    <xf numFmtId="0" fontId="10" fillId="26" borderId="9" xfId="0" applyFont="1" applyFill="1" applyBorder="1" applyAlignment="1">
      <alignment vertical="center"/>
    </xf>
    <xf numFmtId="0" fontId="28" fillId="0" borderId="10" xfId="0" applyNumberFormat="1" applyFont="1" applyBorder="1" applyAlignment="1">
      <alignment horizontal="left" vertical="center" wrapText="1"/>
    </xf>
    <xf numFmtId="0" fontId="27" fillId="26" borderId="10" xfId="0" applyNumberFormat="1" applyFont="1" applyFill="1" applyBorder="1" applyAlignment="1">
      <alignment horizontal="left" vertical="center" wrapText="1"/>
    </xf>
    <xf numFmtId="0" fontId="28" fillId="26" borderId="10" xfId="0" applyNumberFormat="1" applyFont="1" applyFill="1" applyBorder="1" applyAlignment="1">
      <alignment horizontal="left" vertical="center" wrapText="1"/>
    </xf>
    <xf numFmtId="0" fontId="29" fillId="0" borderId="10" xfId="0" applyNumberFormat="1" applyFont="1" applyBorder="1" applyAlignment="1">
      <alignment horizontal="left" vertical="center" wrapText="1"/>
    </xf>
    <xf numFmtId="0" fontId="29" fillId="26" borderId="10" xfId="0" applyNumberFormat="1" applyFont="1" applyFill="1" applyBorder="1" applyAlignment="1">
      <alignment horizontal="left" vertical="center" wrapText="1"/>
    </xf>
    <xf numFmtId="15" fontId="30" fillId="12" borderId="13" xfId="0" applyNumberFormat="1" applyFont="1" applyFill="1" applyBorder="1" applyAlignment="1"/>
    <xf numFmtId="0" fontId="3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"/>
  <sheetViews>
    <sheetView zoomScale="96" workbookViewId="0">
      <selection activeCell="C13" sqref="C13"/>
    </sheetView>
  </sheetViews>
  <sheetFormatPr defaultColWidth="14" defaultRowHeight="13.5" x14ac:dyDescent="0.3"/>
  <cols>
    <col min="1" max="1" width="39" customWidth="1"/>
    <col min="2" max="2" width="40.33203125" bestFit="1" customWidth="1"/>
    <col min="3" max="3" width="26.77734375" customWidth="1"/>
    <col min="4" max="4" width="9" customWidth="1"/>
    <col min="5" max="5" width="30" customWidth="1"/>
    <col min="6" max="6" width="31" customWidth="1"/>
    <col min="7" max="7" width="27.6640625" bestFit="1" customWidth="1"/>
    <col min="8" max="8" width="30.6640625" customWidth="1"/>
    <col min="9" max="9" width="69" customWidth="1"/>
    <col min="10" max="10" width="13" customWidth="1"/>
    <col min="11" max="11" width="48" customWidth="1"/>
    <col min="12" max="12" width="13.21875" customWidth="1"/>
    <col min="13" max="19" width="9" customWidth="1"/>
  </cols>
  <sheetData>
    <row r="1" spans="1:19" ht="23" customHeight="1" thickTop="1" x14ac:dyDescent="0.4">
      <c r="A1" s="10" t="s">
        <v>0</v>
      </c>
      <c r="B1" s="17"/>
      <c r="C1" s="18"/>
      <c r="D1" s="15"/>
      <c r="E1" s="11" t="s">
        <v>1</v>
      </c>
      <c r="F1" s="12"/>
      <c r="G1" s="13"/>
      <c r="H1" s="11" t="s">
        <v>2</v>
      </c>
      <c r="I1" s="14"/>
      <c r="J1" s="16"/>
      <c r="K1" s="16"/>
      <c r="L1" s="24"/>
      <c r="M1" s="1"/>
      <c r="N1" s="1"/>
      <c r="O1" s="1"/>
      <c r="P1" s="1"/>
      <c r="Q1" s="1"/>
      <c r="R1" s="1"/>
      <c r="S1" s="1"/>
    </row>
    <row r="2" spans="1:19" ht="19" customHeight="1" x14ac:dyDescent="0.4">
      <c r="A2" s="8" t="s">
        <v>3</v>
      </c>
      <c r="B2" s="4"/>
      <c r="C2" s="5"/>
      <c r="D2" s="6"/>
      <c r="E2" s="7" t="s">
        <v>4</v>
      </c>
      <c r="F2" s="2"/>
      <c r="G2" s="2"/>
      <c r="H2" s="3"/>
      <c r="I2" s="3"/>
      <c r="J2" s="4"/>
      <c r="K2" s="4"/>
      <c r="L2" s="25"/>
      <c r="M2" s="1"/>
      <c r="N2" s="1"/>
      <c r="O2" s="1"/>
      <c r="P2" s="1"/>
      <c r="Q2" s="1"/>
      <c r="R2" s="1"/>
      <c r="S2" s="1"/>
    </row>
    <row r="3" spans="1:19" ht="19" customHeight="1" x14ac:dyDescent="0.4">
      <c r="A3" s="20"/>
      <c r="B3" s="4"/>
      <c r="C3" s="5"/>
      <c r="D3" s="6"/>
      <c r="E3" s="19"/>
      <c r="F3" s="4"/>
      <c r="G3" s="4"/>
      <c r="H3" s="3"/>
      <c r="I3" s="3"/>
      <c r="J3" s="4"/>
      <c r="K3" s="4"/>
      <c r="L3" s="25"/>
      <c r="M3" s="1"/>
      <c r="N3" s="1"/>
      <c r="O3" s="1"/>
      <c r="P3" s="1"/>
      <c r="Q3" s="1"/>
      <c r="R3" s="1"/>
      <c r="S3" s="1"/>
    </row>
    <row r="4" spans="1:19" ht="19" customHeight="1" x14ac:dyDescent="0.4">
      <c r="A4" s="20"/>
      <c r="B4" s="4"/>
      <c r="C4" s="5"/>
      <c r="D4" s="6"/>
      <c r="E4" s="19"/>
      <c r="F4" s="4"/>
      <c r="G4" s="4"/>
      <c r="H4" s="3"/>
      <c r="I4" s="3"/>
      <c r="J4" s="4"/>
      <c r="K4" s="4"/>
      <c r="L4" s="25"/>
      <c r="M4" s="1"/>
      <c r="N4" s="1"/>
      <c r="O4" s="1"/>
      <c r="P4" s="1"/>
      <c r="Q4" s="1"/>
      <c r="R4" s="1"/>
      <c r="S4" s="1"/>
    </row>
    <row r="5" spans="1:19" ht="16" customHeight="1" x14ac:dyDescent="0.3">
      <c r="A5" s="22" t="s">
        <v>5</v>
      </c>
      <c r="B5" s="21" t="s">
        <v>13</v>
      </c>
      <c r="C5" s="21" t="s">
        <v>16</v>
      </c>
      <c r="D5" s="21" t="s">
        <v>6</v>
      </c>
      <c r="E5" s="21" t="s">
        <v>7</v>
      </c>
      <c r="F5" s="21" t="s">
        <v>14</v>
      </c>
      <c r="G5" s="23" t="s">
        <v>17</v>
      </c>
      <c r="H5" s="21" t="s">
        <v>8</v>
      </c>
      <c r="I5" s="21" t="s">
        <v>9</v>
      </c>
      <c r="J5" s="21" t="s">
        <v>10</v>
      </c>
      <c r="K5" s="21" t="s">
        <v>11</v>
      </c>
      <c r="L5" s="26" t="s">
        <v>12</v>
      </c>
      <c r="M5" s="1"/>
      <c r="N5" s="1"/>
      <c r="O5" s="1"/>
      <c r="P5" s="1"/>
      <c r="Q5" s="1"/>
      <c r="R5" s="1"/>
      <c r="S5" s="1"/>
    </row>
    <row r="6" spans="1:19" ht="43.5" x14ac:dyDescent="0.3">
      <c r="A6" s="33" t="s">
        <v>41</v>
      </c>
      <c r="B6" s="27" t="s">
        <v>23</v>
      </c>
      <c r="C6" s="33" t="s">
        <v>24</v>
      </c>
      <c r="D6" s="30" t="s">
        <v>18</v>
      </c>
      <c r="E6" s="27" t="s">
        <v>32</v>
      </c>
      <c r="F6" s="27" t="s">
        <v>33</v>
      </c>
      <c r="G6" s="27" t="s">
        <v>19</v>
      </c>
      <c r="H6" s="27" t="s">
        <v>34</v>
      </c>
      <c r="I6" s="27" t="str">
        <f t="shared" ref="I6" si="0">(A6&amp; " access " &amp;F6)</f>
        <v>案例1：三化平台网关 access 能力提供方系统，服务入口</v>
      </c>
      <c r="J6" s="27" t="s">
        <v>20</v>
      </c>
      <c r="K6" s="27" t="s">
        <v>21</v>
      </c>
      <c r="L6" s="27" t="s">
        <v>22</v>
      </c>
      <c r="M6" s="9"/>
      <c r="N6" s="9"/>
      <c r="O6" s="9"/>
      <c r="P6" s="9"/>
      <c r="Q6" s="9"/>
      <c r="R6" s="9"/>
      <c r="S6" s="9"/>
    </row>
    <row r="7" spans="1:19" ht="43.5" x14ac:dyDescent="0.3">
      <c r="A7" s="33" t="s">
        <v>29</v>
      </c>
      <c r="B7" s="27" t="s">
        <v>28</v>
      </c>
      <c r="C7" s="27" t="s">
        <v>36</v>
      </c>
      <c r="D7" s="30" t="s">
        <v>18</v>
      </c>
      <c r="E7" s="27" t="s">
        <v>15</v>
      </c>
      <c r="F7" s="27" t="s">
        <v>30</v>
      </c>
      <c r="G7" s="33" t="s">
        <v>31</v>
      </c>
      <c r="H7" s="27" t="s">
        <v>35</v>
      </c>
      <c r="I7" s="27" t="str">
        <f t="shared" ref="I7" si="1">(A7&amp; " access " &amp;F7)</f>
        <v>案例2：调用方系统 access 三化平台，网关服务入口</v>
      </c>
      <c r="J7" s="27" t="s">
        <v>20</v>
      </c>
      <c r="K7" s="27" t="s">
        <v>21</v>
      </c>
      <c r="L7" s="27" t="s">
        <v>22</v>
      </c>
      <c r="M7" s="9"/>
      <c r="N7" s="9"/>
      <c r="O7" s="9"/>
      <c r="P7" s="9"/>
      <c r="Q7" s="9"/>
      <c r="R7" s="9"/>
      <c r="S7" s="9"/>
    </row>
  </sheetData>
  <phoneticPr fontId="26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103B-9A77-4C82-AF09-79758B5F1971}">
  <dimension ref="A1:S11"/>
  <sheetViews>
    <sheetView tabSelected="1" workbookViewId="0">
      <selection activeCell="B8" sqref="B8"/>
    </sheetView>
  </sheetViews>
  <sheetFormatPr defaultColWidth="14" defaultRowHeight="13.5" x14ac:dyDescent="0.3"/>
  <cols>
    <col min="1" max="1" width="40.77734375" bestFit="1" customWidth="1"/>
    <col min="2" max="2" width="40.33203125" bestFit="1" customWidth="1"/>
    <col min="3" max="3" width="26.77734375" customWidth="1"/>
    <col min="4" max="4" width="9" customWidth="1"/>
    <col min="5" max="5" width="30" customWidth="1"/>
    <col min="6" max="6" width="30.88671875" bestFit="1" customWidth="1"/>
    <col min="7" max="7" width="27.6640625" bestFit="1" customWidth="1"/>
    <col min="8" max="8" width="30.6640625" customWidth="1"/>
    <col min="9" max="9" width="69" customWidth="1"/>
    <col min="10" max="10" width="13" customWidth="1"/>
    <col min="11" max="11" width="48" customWidth="1"/>
    <col min="12" max="12" width="13.21875" customWidth="1"/>
    <col min="13" max="19" width="9" customWidth="1"/>
  </cols>
  <sheetData>
    <row r="1" spans="1:19" ht="23" customHeight="1" thickTop="1" x14ac:dyDescent="0.4">
      <c r="A1" s="10" t="s">
        <v>0</v>
      </c>
      <c r="B1" s="17"/>
      <c r="C1" s="18"/>
      <c r="D1" s="15"/>
      <c r="E1" s="11" t="s">
        <v>1</v>
      </c>
      <c r="F1" s="35" t="s">
        <v>44</v>
      </c>
      <c r="G1" s="13"/>
      <c r="H1" s="11" t="s">
        <v>2</v>
      </c>
      <c r="I1" s="14"/>
      <c r="J1" s="16"/>
      <c r="K1" s="16"/>
      <c r="L1" s="24"/>
      <c r="M1" s="1"/>
      <c r="N1" s="1"/>
      <c r="O1" s="1"/>
      <c r="P1" s="1"/>
      <c r="Q1" s="1"/>
      <c r="R1" s="1"/>
      <c r="S1" s="1"/>
    </row>
    <row r="2" spans="1:19" ht="19" customHeight="1" x14ac:dyDescent="0.4">
      <c r="A2" s="8" t="s">
        <v>3</v>
      </c>
      <c r="B2" s="4"/>
      <c r="C2" s="5"/>
      <c r="D2" s="6"/>
      <c r="E2" s="7" t="s">
        <v>4</v>
      </c>
      <c r="F2" s="2"/>
      <c r="G2" s="2"/>
      <c r="H2" s="3"/>
      <c r="I2" s="3"/>
      <c r="J2" s="4"/>
      <c r="K2" s="4"/>
      <c r="L2" s="25"/>
      <c r="M2" s="1"/>
      <c r="N2" s="1"/>
      <c r="O2" s="1"/>
      <c r="P2" s="1"/>
      <c r="Q2" s="1"/>
      <c r="R2" s="1"/>
      <c r="S2" s="1"/>
    </row>
    <row r="3" spans="1:19" ht="19" customHeight="1" x14ac:dyDescent="0.4">
      <c r="A3" s="20"/>
      <c r="B3" s="4"/>
      <c r="C3" s="5"/>
      <c r="D3" s="6"/>
      <c r="E3" s="19"/>
      <c r="F3" s="4"/>
      <c r="G3" s="4"/>
      <c r="H3" s="3"/>
      <c r="I3" s="3"/>
      <c r="J3" s="4"/>
      <c r="K3" s="4"/>
      <c r="L3" s="25"/>
      <c r="M3" s="1"/>
      <c r="N3" s="1"/>
      <c r="O3" s="1"/>
      <c r="P3" s="1"/>
      <c r="Q3" s="1"/>
      <c r="R3" s="1"/>
      <c r="S3" s="1"/>
    </row>
    <row r="4" spans="1:19" ht="19" customHeight="1" x14ac:dyDescent="0.4">
      <c r="A4" s="20"/>
      <c r="B4" s="4"/>
      <c r="C4" s="5"/>
      <c r="D4" s="6"/>
      <c r="E4" s="19"/>
      <c r="F4" s="4"/>
      <c r="G4" s="4"/>
      <c r="H4" s="3"/>
      <c r="I4" s="3"/>
      <c r="J4" s="4"/>
      <c r="K4" s="4"/>
      <c r="L4" s="25"/>
      <c r="M4" s="1"/>
      <c r="N4" s="1"/>
      <c r="O4" s="1"/>
      <c r="P4" s="1"/>
      <c r="Q4" s="1"/>
      <c r="R4" s="1"/>
      <c r="S4" s="1"/>
    </row>
    <row r="5" spans="1:19" ht="16" customHeight="1" x14ac:dyDescent="0.3">
      <c r="A5" s="22" t="s">
        <v>5</v>
      </c>
      <c r="B5" s="21" t="s">
        <v>13</v>
      </c>
      <c r="C5" s="21" t="s">
        <v>16</v>
      </c>
      <c r="D5" s="21" t="s">
        <v>6</v>
      </c>
      <c r="E5" s="21" t="s">
        <v>7</v>
      </c>
      <c r="F5" s="21" t="s">
        <v>14</v>
      </c>
      <c r="G5" s="23" t="s">
        <v>17</v>
      </c>
      <c r="H5" s="21" t="s">
        <v>8</v>
      </c>
      <c r="I5" s="21" t="s">
        <v>9</v>
      </c>
      <c r="J5" s="21" t="s">
        <v>10</v>
      </c>
      <c r="K5" s="21" t="s">
        <v>11</v>
      </c>
      <c r="L5" s="26" t="s">
        <v>12</v>
      </c>
      <c r="M5" s="1"/>
      <c r="N5" s="1"/>
      <c r="O5" s="1"/>
      <c r="P5" s="1"/>
      <c r="Q5" s="1"/>
      <c r="R5" s="1"/>
      <c r="S5" s="1"/>
    </row>
    <row r="6" spans="1:19" s="28" customFormat="1" ht="43.5" x14ac:dyDescent="0.3">
      <c r="A6" s="33" t="s">
        <v>43</v>
      </c>
      <c r="B6" s="31" t="s">
        <v>26</v>
      </c>
      <c r="C6" s="31" t="s">
        <v>25</v>
      </c>
      <c r="D6" s="32" t="s">
        <v>18</v>
      </c>
      <c r="E6" s="27" t="s">
        <v>15</v>
      </c>
      <c r="F6" s="27" t="s">
        <v>40</v>
      </c>
      <c r="G6" s="34" t="s">
        <v>38</v>
      </c>
      <c r="H6" s="27" t="s">
        <v>35</v>
      </c>
      <c r="I6" s="31" t="str">
        <f>(A6&amp; " access " &amp;F6)</f>
        <v>案例1：VPN OAM 網絡訪問 access 三化平台，OAM服务网关入口</v>
      </c>
      <c r="J6" s="31" t="s">
        <v>20</v>
      </c>
      <c r="K6" s="31" t="s">
        <v>21</v>
      </c>
      <c r="L6" s="31" t="s">
        <v>22</v>
      </c>
      <c r="M6" s="29"/>
      <c r="N6" s="29"/>
      <c r="O6" s="29"/>
      <c r="P6" s="29"/>
      <c r="Q6" s="29"/>
      <c r="R6" s="29"/>
      <c r="S6" s="29"/>
    </row>
    <row r="7" spans="1:19" s="28" customFormat="1" ht="43.5" x14ac:dyDescent="0.3">
      <c r="A7" s="33" t="s">
        <v>42</v>
      </c>
      <c r="B7" s="31" t="s">
        <v>37</v>
      </c>
      <c r="C7" s="31" t="s">
        <v>27</v>
      </c>
      <c r="D7" s="32" t="s">
        <v>18</v>
      </c>
      <c r="E7" s="27" t="s">
        <v>15</v>
      </c>
      <c r="F7" s="27" t="s">
        <v>40</v>
      </c>
      <c r="G7" s="34" t="s">
        <v>39</v>
      </c>
      <c r="H7" s="27" t="s">
        <v>35</v>
      </c>
      <c r="I7" s="31" t="str">
        <f>(A7&amp; " access " &amp;F7)</f>
        <v>案例2：辦公OAM網絡訪問 access 三化平台，OAM服务网关入口</v>
      </c>
      <c r="J7" s="31" t="s">
        <v>20</v>
      </c>
      <c r="K7" s="31" t="s">
        <v>21</v>
      </c>
      <c r="L7" s="31" t="s">
        <v>22</v>
      </c>
      <c r="M7" s="29"/>
      <c r="N7" s="29"/>
      <c r="O7" s="29"/>
      <c r="P7" s="29"/>
      <c r="Q7" s="29"/>
      <c r="R7" s="29"/>
      <c r="S7" s="29"/>
    </row>
    <row r="8" spans="1:19" ht="54" x14ac:dyDescent="0.3">
      <c r="A8" t="s">
        <v>47</v>
      </c>
      <c r="B8" t="s">
        <v>48</v>
      </c>
      <c r="C8" s="37" t="s">
        <v>49</v>
      </c>
      <c r="D8" s="32" t="s">
        <v>18</v>
      </c>
      <c r="E8" s="27" t="s">
        <v>15</v>
      </c>
      <c r="F8" s="27" t="s">
        <v>40</v>
      </c>
      <c r="G8" s="34" t="s">
        <v>39</v>
      </c>
      <c r="H8" s="27" t="s">
        <v>35</v>
      </c>
      <c r="J8" s="36" t="s">
        <v>46</v>
      </c>
      <c r="K8" s="36" t="s">
        <v>45</v>
      </c>
      <c r="L8" s="36" t="s">
        <v>44</v>
      </c>
    </row>
    <row r="9" spans="1:19" ht="14.5" x14ac:dyDescent="0.3">
      <c r="J9" s="36"/>
      <c r="K9" s="36"/>
      <c r="L9" s="36"/>
    </row>
    <row r="10" spans="1:19" ht="14.5" x14ac:dyDescent="0.3">
      <c r="J10" s="36"/>
      <c r="K10" s="36"/>
      <c r="L10" s="36"/>
    </row>
    <row r="11" spans="1:19" ht="14.5" x14ac:dyDescent="0.3">
      <c r="J11" s="36"/>
      <c r="K11" s="36"/>
      <c r="L11" s="36"/>
    </row>
  </sheetData>
  <phoneticPr fontId="2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Traffic</vt:lpstr>
      <vt:lpstr>OAM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CHEN Guohua</dc:creator>
  <cp:lastModifiedBy>Jian HE Jian</cp:lastModifiedBy>
  <dcterms:created xsi:type="dcterms:W3CDTF">2024-09-25T02:35:24Z</dcterms:created>
  <dcterms:modified xsi:type="dcterms:W3CDTF">2026-01-09T06:48:06Z</dcterms:modified>
</cp:coreProperties>
</file>