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@Project\1.1.三化项目\三化平台迁移\"/>
    </mc:Choice>
  </mc:AlternateContent>
  <xr:revisionPtr revIDLastSave="0" documentId="13_ncr:1_{E0EBE611-A597-46E5-B3D8-CB4446232233}" xr6:coauthVersionLast="36" xr6:coauthVersionMax="36" xr10:uidLastSave="{00000000-0000-0000-0000-000000000000}"/>
  <bookViews>
    <workbookView xWindow="0" yWindow="2064" windowWidth="23040" windowHeight="9132" xr2:uid="{00000000-000D-0000-FFFF-FFFF00000000}"/>
  </bookViews>
  <sheets>
    <sheet name="traffic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1" i="2" l="1"/>
  <c r="I10" i="2"/>
  <c r="I9" i="2"/>
  <c r="I8" i="2"/>
  <c r="I7" i="2"/>
  <c r="I6" i="2"/>
</calcChain>
</file>

<file path=xl/sharedStrings.xml><?xml version="1.0" encoding="utf-8"?>
<sst xmlns="http://schemas.openxmlformats.org/spreadsheetml/2006/main" count="77" uniqueCount="43">
  <si>
    <t xml:space="preserve">Amended Date: </t>
  </si>
  <si>
    <t xml:space="preserve">By: </t>
  </si>
  <si>
    <t xml:space="preserve">Approved by Manager : </t>
  </si>
  <si>
    <t>Date</t>
  </si>
  <si>
    <t>Source Node Description</t>
    <phoneticPr fontId="1" type="noConversion"/>
  </si>
  <si>
    <t>Destination Node Description</t>
    <phoneticPr fontId="1" type="noConversion"/>
  </si>
  <si>
    <t>Source Node IP</t>
    <phoneticPr fontId="1" type="noConversion"/>
  </si>
  <si>
    <t>Destination IP</t>
    <phoneticPr fontId="1" type="noConversion"/>
  </si>
  <si>
    <t>-&gt;</t>
    <phoneticPr fontId="1" type="noConversion"/>
  </si>
  <si>
    <t>Howard</t>
    <phoneticPr fontId="1" type="noConversion"/>
  </si>
  <si>
    <t>Source Node Name</t>
    <phoneticPr fontId="1" type="noConversion"/>
  </si>
  <si>
    <t>Destination Node</t>
    <phoneticPr fontId="1" type="noConversion"/>
  </si>
  <si>
    <t>Direction</t>
    <phoneticPr fontId="1" type="noConversion"/>
  </si>
  <si>
    <t>Port/services</t>
    <phoneticPr fontId="1" type="noConversion"/>
  </si>
  <si>
    <t>Remarks</t>
    <phoneticPr fontId="1" type="noConversion"/>
  </si>
  <si>
    <t>Requested by</t>
    <phoneticPr fontId="1" type="noConversion"/>
  </si>
  <si>
    <t>Team</t>
    <phoneticPr fontId="1" type="noConversion"/>
  </si>
  <si>
    <t>Communication Channel list</t>
    <phoneticPr fontId="1" type="noConversion"/>
  </si>
  <si>
    <t xml:space="preserve">Project Title: </t>
    <phoneticPr fontId="1" type="noConversion"/>
  </si>
  <si>
    <t>TCP,ICMP
22</t>
    <phoneticPr fontId="1" type="noConversion"/>
  </si>
  <si>
    <t>内网DNS服务</t>
    <phoneticPr fontId="1" type="noConversion"/>
  </si>
  <si>
    <t>内网DNS服务,入口IP</t>
    <phoneticPr fontId="1" type="noConversion"/>
  </si>
  <si>
    <t>10.0.1.21/32</t>
    <phoneticPr fontId="1" type="noConversion"/>
  </si>
  <si>
    <t>TCP,ICMP
53</t>
    <phoneticPr fontId="1" type="noConversion"/>
  </si>
  <si>
    <t>内网NTP时钟服务</t>
    <phoneticPr fontId="1" type="noConversion"/>
  </si>
  <si>
    <t>内网NTP时钟服务,入口IP</t>
    <phoneticPr fontId="1" type="noConversion"/>
  </si>
  <si>
    <t>10.0.18.71/32
10.0.28.71/32 
10.0.18.72/32</t>
    <phoneticPr fontId="1" type="noConversion"/>
  </si>
  <si>
    <t>UDP,ICMP
123</t>
    <phoneticPr fontId="1" type="noConversion"/>
  </si>
  <si>
    <t>Staff VPN/IT-Office WIFI/WAN</t>
    <phoneticPr fontId="1" type="noConversion"/>
  </si>
  <si>
    <t>10.51.0.0/16
10.254.136.0/22
172.19.0.0/19</t>
    <phoneticPr fontId="1" type="noConversion"/>
  </si>
  <si>
    <t>Vandor VPN（中移集成公司）</t>
    <phoneticPr fontId="1" type="noConversion"/>
  </si>
  <si>
    <t>https://pvpn.hk.chinamobile.com/CORP3SP</t>
    <phoneticPr fontId="1" type="noConversion"/>
  </si>
  <si>
    <t xml:space="preserve">	172.23.4.0/24
172.19.13.0/26
10.254.67.0/25</t>
    <phoneticPr fontId="1" type="noConversion"/>
  </si>
  <si>
    <t>员工VPN/办公网络电脑：P7102/P7180</t>
    <phoneticPr fontId="1" type="noConversion"/>
  </si>
  <si>
    <t>三化平台华为云POC</t>
    <phoneticPr fontId="1" type="noConversion"/>
  </si>
  <si>
    <t>三化平台华为云POC，网络出口IP</t>
    <phoneticPr fontId="1" type="noConversion"/>
  </si>
  <si>
    <t>10.0.128.128/32</t>
    <phoneticPr fontId="1" type="noConversion"/>
  </si>
  <si>
    <t>TCP,ICMP
443,30090</t>
    <phoneticPr fontId="1" type="noConversion"/>
  </si>
  <si>
    <t>10.0.128.99/32</t>
    <phoneticPr fontId="1" type="noConversion"/>
  </si>
  <si>
    <t>三化平台华为云POC，入口IP</t>
    <phoneticPr fontId="1" type="noConversion"/>
  </si>
  <si>
    <t>三化平台华为云POC，跳板机，入口IP</t>
    <phoneticPr fontId="1" type="noConversion"/>
  </si>
  <si>
    <t>0.0.128.199/32
10.0.128.128/32</t>
    <phoneticPr fontId="1" type="noConversion"/>
  </si>
  <si>
    <t>信息技术中心-中台运营支撑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</si>
</sst>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name val="新細明體"/>
      <family val="1"/>
      <charset val="136"/>
      <scheme val="minor"/>
    </font>
    <font>
      <b/>
      <i/>
      <sz val="16"/>
      <color rgb="FFFF0000"/>
      <name val="新細明體"/>
      <family val="1"/>
      <charset val="136"/>
      <scheme val="minor"/>
    </font>
    <font>
      <sz val="12"/>
      <color rgb="FF333399"/>
      <name val="新細明體"/>
      <family val="1"/>
      <charset val="136"/>
      <scheme val="minor"/>
    </font>
    <font>
      <sz val="12"/>
      <color rgb="FF000000"/>
      <name val="新細明體"/>
      <family val="1"/>
      <charset val="136"/>
      <scheme val="minor"/>
    </font>
    <font>
      <b/>
      <i/>
      <sz val="12"/>
      <color rgb="FFFF0000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b/>
      <sz val="14"/>
      <color rgb="FF000000"/>
      <name val="新細明體"/>
      <family val="1"/>
      <charset val="136"/>
      <scheme val="minor"/>
    </font>
    <font>
      <b/>
      <i/>
      <sz val="12"/>
      <color rgb="FF000000"/>
      <name val="新細明體"/>
      <family val="1"/>
      <charset val="136"/>
      <scheme val="minor"/>
    </font>
    <font>
      <b/>
      <sz val="10"/>
      <color rgb="FF000000"/>
      <name val="新細明體"/>
      <family val="1"/>
      <charset val="136"/>
      <scheme val="minor"/>
    </font>
    <font>
      <sz val="10"/>
      <color rgb="FFC00000"/>
      <name val="新細明體"/>
      <family val="1"/>
      <charset val="136"/>
      <scheme val="minor"/>
    </font>
    <font>
      <u/>
      <sz val="10"/>
      <color theme="10"/>
      <name val="新細明體"/>
      <family val="2"/>
      <scheme val="minor"/>
    </font>
    <font>
      <u/>
      <sz val="10"/>
      <color theme="10"/>
      <name val="新細明體"/>
      <family val="1"/>
      <charset val="136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/>
      <bottom/>
      <diagonal/>
    </border>
    <border>
      <left style="thick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 applyNumberFormat="0" applyFont="0" applyFill="0" applyBorder="0" applyProtection="0"/>
    <xf numFmtId="0" fontId="14" fillId="0" borderId="21" applyNumberFormat="0" applyFill="0" applyBorder="0" applyAlignment="0" applyProtection="0"/>
  </cellStyleXfs>
  <cellXfs count="40">
    <xf numFmtId="0" fontId="0" fillId="0" borderId="0" xfId="0" applyAlignment="1">
      <alignment vertical="center"/>
    </xf>
    <xf numFmtId="49" fontId="5" fillId="9" borderId="9" xfId="0" applyNumberFormat="1" applyFont="1" applyFill="1" applyBorder="1" applyAlignment="1">
      <alignment vertical="top"/>
    </xf>
    <xf numFmtId="0" fontId="6" fillId="17" borderId="16" xfId="0" applyFont="1" applyFill="1" applyBorder="1" applyAlignment="1"/>
    <xf numFmtId="0" fontId="6" fillId="17" borderId="17" xfId="0" applyFont="1" applyFill="1" applyBorder="1" applyAlignment="1"/>
    <xf numFmtId="0" fontId="7" fillId="14" borderId="14" xfId="0" applyFont="1" applyFill="1" applyBorder="1" applyAlignment="1">
      <alignment horizontal="center" wrapText="1"/>
    </xf>
    <xf numFmtId="49" fontId="8" fillId="10" borderId="10" xfId="0" applyNumberFormat="1" applyFont="1" applyFill="1" applyBorder="1" applyAlignment="1"/>
    <xf numFmtId="15" fontId="8" fillId="11" borderId="11" xfId="0" applyNumberFormat="1" applyFont="1" applyFill="1" applyBorder="1" applyAlignment="1"/>
    <xf numFmtId="0" fontId="3" fillId="12" borderId="12" xfId="0" applyFont="1" applyFill="1" applyBorder="1" applyAlignment="1"/>
    <xf numFmtId="0" fontId="7" fillId="13" borderId="13" xfId="0" applyFont="1" applyFill="1" applyBorder="1" applyAlignment="1">
      <alignment wrapText="1"/>
    </xf>
    <xf numFmtId="0" fontId="7" fillId="15" borderId="15" xfId="0" applyFont="1" applyFill="1" applyBorder="1" applyAlignment="1"/>
    <xf numFmtId="0" fontId="7" fillId="16" borderId="17" xfId="0" applyFont="1" applyFill="1" applyBorder="1" applyAlignment="1"/>
    <xf numFmtId="0" fontId="9" fillId="0" borderId="1" xfId="0" applyFont="1" applyBorder="1" applyAlignment="1"/>
    <xf numFmtId="0" fontId="2" fillId="0" borderId="0" xfId="0" applyFont="1" applyAlignment="1">
      <alignment vertical="center"/>
    </xf>
    <xf numFmtId="49" fontId="10" fillId="8" borderId="7" xfId="0" applyNumberFormat="1" applyFont="1" applyFill="1" applyBorder="1" applyAlignment="1">
      <alignment vertical="top"/>
    </xf>
    <xf numFmtId="0" fontId="9" fillId="5" borderId="4" xfId="0" applyFont="1" applyFill="1" applyBorder="1" applyAlignment="1"/>
    <xf numFmtId="0" fontId="9" fillId="5" borderId="21" xfId="0" applyFont="1" applyFill="1" applyBorder="1" applyAlignment="1"/>
    <xf numFmtId="0" fontId="9" fillId="6" borderId="5" xfId="0" applyFont="1" applyFill="1" applyBorder="1" applyAlignment="1">
      <alignment horizontal="center" wrapText="1"/>
    </xf>
    <xf numFmtId="49" fontId="8" fillId="7" borderId="6" xfId="0" applyNumberFormat="1" applyFont="1" applyFill="1" applyBorder="1" applyAlignment="1"/>
    <xf numFmtId="0" fontId="3" fillId="2" borderId="2" xfId="0" applyFont="1" applyFill="1" applyBorder="1" applyAlignment="1"/>
    <xf numFmtId="0" fontId="9" fillId="3" borderId="3" xfId="0" applyFont="1" applyFill="1" applyBorder="1" applyAlignment="1">
      <alignment wrapText="1"/>
    </xf>
    <xf numFmtId="0" fontId="9" fillId="4" borderId="21" xfId="0" applyFont="1" applyFill="1" applyBorder="1" applyAlignment="1"/>
    <xf numFmtId="0" fontId="10" fillId="19" borderId="19" xfId="0" applyFont="1" applyFill="1" applyBorder="1" applyAlignment="1">
      <alignment vertical="top"/>
    </xf>
    <xf numFmtId="0" fontId="11" fillId="18" borderId="18" xfId="0" applyFont="1" applyFill="1" applyBorder="1" applyAlignment="1"/>
    <xf numFmtId="49" fontId="12" fillId="23" borderId="22" xfId="0" applyNumberFormat="1" applyFont="1" applyFill="1" applyBorder="1" applyAlignment="1">
      <alignment horizontal="left" vertical="top" wrapText="1"/>
    </xf>
    <xf numFmtId="49" fontId="12" fillId="20" borderId="20" xfId="0" applyNumberFormat="1" applyFont="1" applyFill="1" applyBorder="1" applyAlignment="1">
      <alignment horizontal="left" vertical="top" wrapText="1"/>
    </xf>
    <xf numFmtId="49" fontId="12" fillId="20" borderId="21" xfId="0" applyNumberFormat="1" applyFont="1" applyFill="1" applyBorder="1" applyAlignment="1">
      <alignment horizontal="left" vertical="top" wrapText="1"/>
    </xf>
    <xf numFmtId="49" fontId="12" fillId="22" borderId="21" xfId="0" applyNumberFormat="1" applyFont="1" applyFill="1" applyBorder="1" applyAlignment="1">
      <alignment horizontal="left" vertical="top"/>
    </xf>
    <xf numFmtId="49" fontId="12" fillId="21" borderId="21" xfId="0" applyNumberFormat="1" applyFont="1" applyFill="1" applyBorder="1" applyAlignment="1">
      <alignment horizontal="left" vertical="top" wrapText="1"/>
    </xf>
    <xf numFmtId="0" fontId="9" fillId="24" borderId="8" xfId="0" applyNumberFormat="1" applyFont="1" applyFill="1" applyBorder="1" applyAlignment="1">
      <alignment horizontal="left" vertical="center" wrapText="1"/>
    </xf>
    <xf numFmtId="0" fontId="9" fillId="0" borderId="8" xfId="0" applyNumberFormat="1" applyFont="1" applyBorder="1" applyAlignment="1">
      <alignment horizontal="left" vertical="center" wrapText="1"/>
    </xf>
    <xf numFmtId="0" fontId="4" fillId="0" borderId="8" xfId="0" applyNumberFormat="1" applyFont="1" applyBorder="1" applyAlignment="1">
      <alignment horizontal="left" vertical="center" wrapText="1"/>
    </xf>
    <xf numFmtId="0" fontId="13" fillId="0" borderId="8" xfId="0" applyNumberFormat="1" applyFont="1" applyBorder="1" applyAlignment="1">
      <alignment horizontal="left" vertical="center" wrapText="1"/>
    </xf>
    <xf numFmtId="0" fontId="9" fillId="25" borderId="8" xfId="0" applyNumberFormat="1" applyFont="1" applyFill="1" applyBorder="1" applyAlignment="1">
      <alignment horizontal="left" vertical="center" wrapText="1"/>
    </xf>
    <xf numFmtId="0" fontId="7" fillId="0" borderId="21" xfId="0" applyFont="1" applyBorder="1" applyAlignment="1">
      <alignment vertical="center"/>
    </xf>
    <xf numFmtId="14" fontId="9" fillId="0" borderId="23" xfId="0" applyNumberFormat="1" applyFont="1" applyBorder="1" applyAlignment="1">
      <alignment horizontal="left" vertical="center" wrapText="1"/>
    </xf>
    <xf numFmtId="0" fontId="9" fillId="24" borderId="23" xfId="0" applyNumberFormat="1" applyFont="1" applyFill="1" applyBorder="1" applyAlignment="1">
      <alignment horizontal="left" vertical="center" wrapText="1"/>
    </xf>
    <xf numFmtId="0" fontId="9" fillId="0" borderId="23" xfId="0" applyNumberFormat="1" applyFont="1" applyBorder="1" applyAlignment="1">
      <alignment horizontal="left" vertical="center" wrapText="1"/>
    </xf>
    <xf numFmtId="0" fontId="4" fillId="0" borderId="23" xfId="0" applyNumberFormat="1" applyFont="1" applyBorder="1" applyAlignment="1">
      <alignment horizontal="left" vertical="center" wrapText="1"/>
    </xf>
    <xf numFmtId="0" fontId="13" fillId="0" borderId="23" xfId="0" applyNumberFormat="1" applyFont="1" applyBorder="1" applyAlignment="1">
      <alignment horizontal="left" vertical="center" wrapText="1"/>
    </xf>
    <xf numFmtId="0" fontId="15" fillId="0" borderId="8" xfId="1" applyNumberFormat="1" applyFont="1" applyBorder="1" applyAlignment="1">
      <alignment vertical="center"/>
    </xf>
  </cellXfs>
  <cellStyles count="2">
    <cellStyle name="超連結" xfId="1" builtinId="8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11"/>
  <sheetViews>
    <sheetView tabSelected="1" topLeftCell="A3" zoomScaleNormal="100" workbookViewId="0">
      <selection activeCell="E16" sqref="E16"/>
    </sheetView>
  </sheetViews>
  <sheetFormatPr defaultColWidth="14" defaultRowHeight="13.8" x14ac:dyDescent="0.25"/>
  <cols>
    <col min="1" max="1" width="39" style="12" customWidth="1"/>
    <col min="2" max="2" width="51.25" style="12" bestFit="1" customWidth="1"/>
    <col min="3" max="3" width="27.5" style="12" customWidth="1"/>
    <col min="4" max="4" width="9" style="12" customWidth="1"/>
    <col min="5" max="5" width="41" style="12" customWidth="1"/>
    <col min="6" max="6" width="36.375" style="12" customWidth="1"/>
    <col min="7" max="7" width="27.625" style="12" bestFit="1" customWidth="1"/>
    <col min="8" max="8" width="30.625" style="12" customWidth="1"/>
    <col min="9" max="9" width="69" style="12" customWidth="1"/>
    <col min="10" max="10" width="13" style="12" customWidth="1"/>
    <col min="11" max="11" width="48" style="12" customWidth="1"/>
    <col min="12" max="12" width="13.25" style="12" customWidth="1"/>
    <col min="13" max="19" width="9" style="12" customWidth="1"/>
    <col min="20" max="16384" width="14" style="12"/>
  </cols>
  <sheetData>
    <row r="1" spans="1:19" ht="22.95" customHeight="1" thickTop="1" x14ac:dyDescent="0.3">
      <c r="A1" s="1" t="s">
        <v>18</v>
      </c>
      <c r="B1" s="2"/>
      <c r="C1" s="3"/>
      <c r="D1" s="4"/>
      <c r="E1" s="5" t="s">
        <v>0</v>
      </c>
      <c r="F1" s="6"/>
      <c r="G1" s="7"/>
      <c r="H1" s="5" t="s">
        <v>1</v>
      </c>
      <c r="I1" s="8"/>
      <c r="J1" s="9"/>
      <c r="K1" s="9"/>
      <c r="L1" s="10"/>
      <c r="M1" s="11"/>
      <c r="N1" s="11"/>
      <c r="O1" s="11"/>
      <c r="P1" s="11"/>
      <c r="Q1" s="11"/>
      <c r="R1" s="11"/>
      <c r="S1" s="11"/>
    </row>
    <row r="2" spans="1:19" ht="19.05" customHeight="1" x14ac:dyDescent="0.3">
      <c r="A2" s="13" t="s">
        <v>17</v>
      </c>
      <c r="B2" s="14"/>
      <c r="C2" s="15"/>
      <c r="D2" s="16"/>
      <c r="E2" s="17" t="s">
        <v>2</v>
      </c>
      <c r="F2" s="18"/>
      <c r="G2" s="18"/>
      <c r="H2" s="19"/>
      <c r="I2" s="19"/>
      <c r="J2" s="14"/>
      <c r="K2" s="14"/>
      <c r="L2" s="20"/>
      <c r="M2" s="11"/>
      <c r="N2" s="11"/>
      <c r="O2" s="11"/>
      <c r="P2" s="11"/>
      <c r="Q2" s="11"/>
      <c r="R2" s="11"/>
      <c r="S2" s="11"/>
    </row>
    <row r="3" spans="1:19" ht="19.05" customHeight="1" x14ac:dyDescent="0.3">
      <c r="A3" s="21"/>
      <c r="B3" s="14"/>
      <c r="C3" s="15"/>
      <c r="D3" s="16"/>
      <c r="E3" s="22"/>
      <c r="F3" s="14"/>
      <c r="G3" s="14"/>
      <c r="H3" s="19"/>
      <c r="I3" s="19"/>
      <c r="J3" s="14"/>
      <c r="K3" s="14"/>
      <c r="L3" s="20"/>
      <c r="M3" s="11"/>
      <c r="N3" s="11"/>
      <c r="O3" s="11"/>
      <c r="P3" s="11"/>
      <c r="Q3" s="11"/>
      <c r="R3" s="11"/>
      <c r="S3" s="11"/>
    </row>
    <row r="4" spans="1:19" ht="19.05" customHeight="1" x14ac:dyDescent="0.3">
      <c r="A4" s="21"/>
      <c r="B4" s="14"/>
      <c r="C4" s="15"/>
      <c r="D4" s="16"/>
      <c r="E4" s="22"/>
      <c r="F4" s="14"/>
      <c r="G4" s="14"/>
      <c r="H4" s="19"/>
      <c r="I4" s="19"/>
      <c r="J4" s="14"/>
      <c r="K4" s="14"/>
      <c r="L4" s="20"/>
      <c r="M4" s="11"/>
      <c r="N4" s="11"/>
      <c r="O4" s="11"/>
      <c r="P4" s="11"/>
      <c r="Q4" s="11"/>
      <c r="R4" s="11"/>
      <c r="S4" s="11"/>
    </row>
    <row r="5" spans="1:19" ht="16.05" customHeight="1" x14ac:dyDescent="0.25">
      <c r="A5" s="23" t="s">
        <v>10</v>
      </c>
      <c r="B5" s="24" t="s">
        <v>4</v>
      </c>
      <c r="C5" s="25" t="s">
        <v>6</v>
      </c>
      <c r="D5" s="24" t="s">
        <v>12</v>
      </c>
      <c r="E5" s="24" t="s">
        <v>11</v>
      </c>
      <c r="F5" s="24" t="s">
        <v>5</v>
      </c>
      <c r="G5" s="26" t="s">
        <v>7</v>
      </c>
      <c r="H5" s="24" t="s">
        <v>13</v>
      </c>
      <c r="I5" s="24" t="s">
        <v>14</v>
      </c>
      <c r="J5" s="24" t="s">
        <v>15</v>
      </c>
      <c r="K5" s="24" t="s">
        <v>16</v>
      </c>
      <c r="L5" s="27" t="s">
        <v>3</v>
      </c>
      <c r="M5" s="11"/>
      <c r="N5" s="11"/>
      <c r="O5" s="11"/>
    </row>
    <row r="6" spans="1:19" ht="27.6" x14ac:dyDescent="0.25">
      <c r="A6" s="35" t="s">
        <v>34</v>
      </c>
      <c r="B6" s="36" t="s">
        <v>35</v>
      </c>
      <c r="C6" s="37" t="s">
        <v>41</v>
      </c>
      <c r="D6" s="38" t="s">
        <v>8</v>
      </c>
      <c r="E6" s="35" t="s">
        <v>20</v>
      </c>
      <c r="F6" s="36" t="s">
        <v>21</v>
      </c>
      <c r="G6" s="36" t="s">
        <v>22</v>
      </c>
      <c r="H6" s="36" t="s">
        <v>23</v>
      </c>
      <c r="I6" s="36" t="str">
        <f t="shared" ref="I6:I7" si="0">(A6&amp; " access " &amp;F6)</f>
        <v>三化平台华为云POC access 内网DNS服务,入口IP</v>
      </c>
      <c r="J6" s="36" t="s">
        <v>9</v>
      </c>
      <c r="K6" s="36" t="s">
        <v>42</v>
      </c>
      <c r="L6" s="34">
        <v>46107</v>
      </c>
      <c r="M6" s="33"/>
      <c r="N6" s="33"/>
      <c r="O6" s="33"/>
    </row>
    <row r="7" spans="1:19" ht="41.4" x14ac:dyDescent="0.25">
      <c r="A7" s="28" t="s">
        <v>34</v>
      </c>
      <c r="B7" s="29" t="s">
        <v>35</v>
      </c>
      <c r="C7" s="30" t="s">
        <v>41</v>
      </c>
      <c r="D7" s="31" t="s">
        <v>8</v>
      </c>
      <c r="E7" s="28" t="s">
        <v>24</v>
      </c>
      <c r="F7" s="29" t="s">
        <v>25</v>
      </c>
      <c r="G7" s="29" t="s">
        <v>26</v>
      </c>
      <c r="H7" s="29" t="s">
        <v>27</v>
      </c>
      <c r="I7" s="29" t="str">
        <f t="shared" si="0"/>
        <v>三化平台华为云POC access 内网NTP时钟服务,入口IP</v>
      </c>
      <c r="J7" s="29" t="s">
        <v>9</v>
      </c>
      <c r="K7" s="29" t="s">
        <v>42</v>
      </c>
      <c r="L7" s="34">
        <v>46107</v>
      </c>
      <c r="M7" s="33"/>
      <c r="N7" s="33"/>
      <c r="O7" s="33"/>
    </row>
    <row r="8" spans="1:19" ht="41.4" x14ac:dyDescent="0.25">
      <c r="A8" s="32" t="s">
        <v>28</v>
      </c>
      <c r="B8" s="29" t="s">
        <v>33</v>
      </c>
      <c r="C8" s="30" t="s">
        <v>29</v>
      </c>
      <c r="D8" s="31" t="s">
        <v>8</v>
      </c>
      <c r="E8" s="32" t="s">
        <v>34</v>
      </c>
      <c r="F8" s="29" t="s">
        <v>39</v>
      </c>
      <c r="G8" s="30" t="s">
        <v>38</v>
      </c>
      <c r="H8" s="29" t="s">
        <v>37</v>
      </c>
      <c r="I8" s="29" t="str">
        <f>(A8&amp; " access " &amp;F8)</f>
        <v>Staff VPN/IT-Office WIFI/WAN access 三化平台华为云POC，入口IP</v>
      </c>
      <c r="J8" s="29" t="s">
        <v>9</v>
      </c>
      <c r="K8" s="29" t="s">
        <v>42</v>
      </c>
      <c r="L8" s="34">
        <v>46107</v>
      </c>
      <c r="M8" s="33"/>
      <c r="N8" s="33"/>
      <c r="O8" s="33"/>
    </row>
    <row r="9" spans="1:19" ht="41.4" x14ac:dyDescent="0.25">
      <c r="A9" s="32" t="s">
        <v>30</v>
      </c>
      <c r="B9" s="39" t="s">
        <v>31</v>
      </c>
      <c r="C9" s="30" t="s">
        <v>32</v>
      </c>
      <c r="D9" s="31" t="s">
        <v>8</v>
      </c>
      <c r="E9" s="32" t="s">
        <v>34</v>
      </c>
      <c r="F9" s="29" t="s">
        <v>39</v>
      </c>
      <c r="G9" s="30" t="s">
        <v>38</v>
      </c>
      <c r="H9" s="29" t="s">
        <v>37</v>
      </c>
      <c r="I9" s="29" t="str">
        <f>(A9&amp; " access " &amp;F9)</f>
        <v>Vandor VPN（中移集成公司） access 三化平台华为云POC，入口IP</v>
      </c>
      <c r="J9" s="29" t="s">
        <v>9</v>
      </c>
      <c r="K9" s="29" t="s">
        <v>42</v>
      </c>
      <c r="L9" s="34">
        <v>46107</v>
      </c>
      <c r="M9" s="33"/>
      <c r="N9" s="33"/>
      <c r="O9" s="33"/>
    </row>
    <row r="10" spans="1:19" ht="41.4" x14ac:dyDescent="0.25">
      <c r="A10" s="32" t="s">
        <v>28</v>
      </c>
      <c r="B10" s="29" t="s">
        <v>33</v>
      </c>
      <c r="C10" s="30" t="s">
        <v>29</v>
      </c>
      <c r="D10" s="31" t="s">
        <v>8</v>
      </c>
      <c r="E10" s="32" t="s">
        <v>34</v>
      </c>
      <c r="F10" s="29" t="s">
        <v>40</v>
      </c>
      <c r="G10" s="30" t="s">
        <v>36</v>
      </c>
      <c r="H10" s="29" t="s">
        <v>19</v>
      </c>
      <c r="I10" s="29" t="str">
        <f>(A10&amp; " access " &amp;F10)</f>
        <v>Staff VPN/IT-Office WIFI/WAN access 三化平台华为云POC，跳板机，入口IP</v>
      </c>
      <c r="J10" s="29" t="s">
        <v>9</v>
      </c>
      <c r="K10" s="29" t="s">
        <v>42</v>
      </c>
      <c r="L10" s="34">
        <v>46107</v>
      </c>
      <c r="M10" s="33"/>
      <c r="N10" s="33"/>
      <c r="O10" s="33"/>
    </row>
    <row r="11" spans="1:19" ht="41.4" x14ac:dyDescent="0.25">
      <c r="A11" s="32" t="s">
        <v>30</v>
      </c>
      <c r="B11" s="39" t="s">
        <v>31</v>
      </c>
      <c r="C11" s="30" t="s">
        <v>32</v>
      </c>
      <c r="D11" s="31" t="s">
        <v>8</v>
      </c>
      <c r="E11" s="32" t="s">
        <v>34</v>
      </c>
      <c r="F11" s="29" t="s">
        <v>40</v>
      </c>
      <c r="G11" s="30" t="s">
        <v>36</v>
      </c>
      <c r="H11" s="29" t="s">
        <v>19</v>
      </c>
      <c r="I11" s="29" t="str">
        <f>(A11&amp; " access " &amp;F11)</f>
        <v>Vandor VPN（中移集成公司） access 三化平台华为云POC，跳板机，入口IP</v>
      </c>
      <c r="J11" s="29" t="s">
        <v>9</v>
      </c>
      <c r="K11" s="29" t="s">
        <v>42</v>
      </c>
      <c r="L11" s="34">
        <v>46107</v>
      </c>
      <c r="M11" s="33"/>
      <c r="N11" s="33"/>
      <c r="O11" s="33"/>
    </row>
  </sheetData>
  <phoneticPr fontId="1" type="noConversion"/>
  <pageMargins left="0.7" right="0.7" top="0.75" bottom="0.75" header="0.3" footer="0.3"/>
  <pageSetup paperSize="9" orientation="portrait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traffic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Howard CHEN Guohua</dc:creator>
  <cp:lastModifiedBy>Howard CHEN Guohua</cp:lastModifiedBy>
  <dcterms:created xsi:type="dcterms:W3CDTF">2024-09-25T02:35:24Z</dcterms:created>
  <dcterms:modified xsi:type="dcterms:W3CDTF">2026-03-26T03:25:09Z</dcterms:modified>
</cp:coreProperties>
</file>