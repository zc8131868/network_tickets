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5865\Documents\網絡開通\"/>
    </mc:Choice>
  </mc:AlternateContent>
  <xr:revisionPtr revIDLastSave="0" documentId="13_ncr:1_{2E98FBE3-8EC5-4C1B-A83B-EC93BAFD8732}" xr6:coauthVersionLast="36" xr6:coauthVersionMax="36" xr10:uidLastSave="{00000000-0000-0000-0000-000000000000}"/>
  <bookViews>
    <workbookView xWindow="-96" yWindow="-96" windowWidth="23232" windowHeight="12432" xr2:uid="{00000000-000D-0000-FFFF-FFFF00000000}"/>
  </bookViews>
  <sheets>
    <sheet name="Traffic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  <c r="I6" i="2" l="1"/>
</calcChain>
</file>

<file path=xl/sharedStrings.xml><?xml version="1.0" encoding="utf-8"?>
<sst xmlns="http://schemas.openxmlformats.org/spreadsheetml/2006/main" count="91" uniqueCount="55">
  <si>
    <t xml:space="preserve">Project Title: </t>
  </si>
  <si>
    <t xml:space="preserve">Amended Date: </t>
  </si>
  <si>
    <t xml:space="preserve">By: </t>
  </si>
  <si>
    <t>Communication Channel list</t>
  </si>
  <si>
    <t xml:space="preserve">Approved by Manager : </t>
  </si>
  <si>
    <t>Source Node Name</t>
  </si>
  <si>
    <t>Direction</t>
  </si>
  <si>
    <t>Destination Node</t>
  </si>
  <si>
    <t>Port/services</t>
  </si>
  <si>
    <t>Remarks</t>
  </si>
  <si>
    <t>Requested by</t>
  </si>
  <si>
    <t>Team</t>
  </si>
  <si>
    <t>Date</t>
  </si>
  <si>
    <t>Source Node Description</t>
    <phoneticPr fontId="26" type="noConversion"/>
  </si>
  <si>
    <t>Destination Node Description</t>
    <phoneticPr fontId="26" type="noConversion"/>
  </si>
  <si>
    <t>三化平台</t>
    <phoneticPr fontId="26" type="noConversion"/>
  </si>
  <si>
    <t>Source Node IP</t>
    <phoneticPr fontId="26" type="noConversion"/>
  </si>
  <si>
    <t>Destination IP</t>
    <phoneticPr fontId="26" type="noConversion"/>
  </si>
  <si>
    <t>-&gt;</t>
    <phoneticPr fontId="26" type="noConversion"/>
  </si>
  <si>
    <t>10.0.17.78</t>
    <phoneticPr fontId="26" type="noConversion"/>
  </si>
  <si>
    <t>Howard</t>
    <phoneticPr fontId="26" type="noConversion"/>
  </si>
  <si>
    <t>IT &amp; Digital Intelligence Empowerment Division</t>
    <phoneticPr fontId="26" type="noConversion"/>
  </si>
  <si>
    <t>05/12/2024</t>
    <phoneticPr fontId="26" type="noConversion"/>
  </si>
  <si>
    <t>三化平台，网关服务pods出口</t>
    <phoneticPr fontId="26" type="noConversion"/>
  </si>
  <si>
    <t>10.0.60.98</t>
    <phoneticPr fontId="26" type="noConversion"/>
  </si>
  <si>
    <t>能力调用方系统, 服务出口</t>
    <phoneticPr fontId="26" type="noConversion"/>
  </si>
  <si>
    <t>案例2：调用方系统</t>
    <phoneticPr fontId="26" type="noConversion"/>
  </si>
  <si>
    <t>三化平台，网关服务入口</t>
    <phoneticPr fontId="26" type="noConversion"/>
  </si>
  <si>
    <t>10.0.60.99</t>
    <phoneticPr fontId="26" type="noConversion"/>
  </si>
  <si>
    <t>能力提供方系统</t>
    <phoneticPr fontId="26" type="noConversion"/>
  </si>
  <si>
    <t>能力提供方系统，服务入口</t>
    <phoneticPr fontId="26" type="noConversion"/>
  </si>
  <si>
    <t>TCP
80,
443</t>
    <phoneticPr fontId="26" type="noConversion"/>
  </si>
  <si>
    <t>TCP
30543,
30980</t>
    <phoneticPr fontId="26" type="noConversion"/>
  </si>
  <si>
    <t>10.0.xx.xx</t>
    <phoneticPr fontId="26" type="noConversion"/>
  </si>
  <si>
    <t>案例1：三化平台网关</t>
    <phoneticPr fontId="26" type="noConversion"/>
  </si>
  <si>
    <t>NOA UAT</t>
  </si>
  <si>
    <t>10.0.59.182
10.0.59.185</t>
  </si>
  <si>
    <t>-&gt;</t>
  </si>
  <si>
    <t>商旅100承載網</t>
  </si>
  <si>
    <t>测试</t>
  </si>
  <si>
    <t>10.55.1.253
10.55.1.254</t>
  </si>
  <si>
    <t>81/82/8080/8082 
81/82/8080/8081/22</t>
  </si>
  <si>
    <t>Leo</t>
  </si>
  <si>
    <t>Information Technology Centre</t>
  </si>
  <si>
    <t>NOA PROD</t>
  </si>
  <si>
    <t>10.0.80.110 
10.0.80.111</t>
  </si>
  <si>
    <t>生产接口</t>
  </si>
  <si>
    <t>172.21.209.19</t>
  </si>
  <si>
    <t>生产前台</t>
  </si>
  <si>
    <t>172.21.209.61</t>
  </si>
  <si>
    <t>TRY UAT</t>
  </si>
  <si>
    <t>10.0.17.3</t>
  </si>
  <si>
    <t>443
80
8080</t>
  </si>
  <si>
    <t>TRY PROD</t>
  </si>
  <si>
    <t>10.0.17.170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</si>
</sst>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color theme="1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FF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b/>
      <i/>
      <sz val="12"/>
      <color rgb="FFFF0000"/>
      <name val="新細明體"/>
      <family val="2"/>
      <scheme val="minor"/>
    </font>
    <font>
      <b/>
      <sz val="14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b/>
      <i/>
      <sz val="16"/>
      <color rgb="FFFF0000"/>
      <name val="新細明體"/>
      <family val="2"/>
      <scheme val="minor"/>
    </font>
    <font>
      <b/>
      <i/>
      <sz val="12"/>
      <color rgb="FFFF0000"/>
      <name val="新細明體"/>
      <family val="2"/>
      <scheme val="minor"/>
    </font>
    <font>
      <b/>
      <i/>
      <sz val="12"/>
      <color rgb="FFFF0000"/>
      <name val="新細明體"/>
      <family val="2"/>
      <scheme val="minor"/>
    </font>
    <font>
      <sz val="10"/>
      <color rgb="FFFF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2"/>
      <color rgb="FF333399"/>
      <name val="新細明體"/>
      <family val="2"/>
      <scheme val="minor"/>
    </font>
    <font>
      <sz val="12"/>
      <color rgb="FF000000"/>
      <name val="新細明體"/>
      <family val="2"/>
      <scheme val="minor"/>
    </font>
    <font>
      <b/>
      <i/>
      <sz val="12"/>
      <color rgb="FF000000"/>
      <name val="新細明體"/>
      <family val="2"/>
      <scheme val="minor"/>
    </font>
    <font>
      <b/>
      <sz val="14"/>
      <color rgb="FF000000"/>
      <name val="新細明體"/>
      <family val="2"/>
      <scheme val="minor"/>
    </font>
    <font>
      <b/>
      <sz val="10"/>
      <color rgb="FF000000"/>
      <name val="新細明體"/>
      <family val="2"/>
      <scheme val="minor"/>
    </font>
    <font>
      <b/>
      <sz val="10"/>
      <color rgb="FF000000"/>
      <name val="新細明體"/>
      <family val="2"/>
      <scheme val="minor"/>
    </font>
    <font>
      <b/>
      <sz val="10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000000"/>
      <name val="Microsoft YaHei"/>
      <family val="2"/>
      <charset val="134"/>
    </font>
    <font>
      <sz val="10"/>
      <color rgb="FFC00000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0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sz val="10"/>
      <color rgb="FFC00000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</borders>
  <cellStyleXfs count="2">
    <xf numFmtId="0" fontId="0" fillId="0" borderId="0" applyNumberFormat="0" applyFont="0" applyFill="0" applyBorder="0" applyProtection="0"/>
    <xf numFmtId="0" fontId="30" fillId="0" borderId="23" applyNumberFormat="0" applyFont="0" applyFill="0" applyBorder="0" applyProtection="0"/>
  </cellStyleXfs>
  <cellXfs count="42">
    <xf numFmtId="0" fontId="0" fillId="0" borderId="0" xfId="0" applyAlignment="1">
      <alignment vertical="center"/>
    </xf>
    <xf numFmtId="0" fontId="1" fillId="0" borderId="1" xfId="0" applyFont="1" applyBorder="1" applyAlignment="1"/>
    <xf numFmtId="0" fontId="2" fillId="2" borderId="2" xfId="0" applyFont="1" applyFill="1" applyBorder="1" applyAlignment="1"/>
    <xf numFmtId="0" fontId="3" fillId="3" borderId="3" xfId="0" applyFont="1" applyFill="1" applyBorder="1" applyAlignment="1">
      <alignment wrapText="1"/>
    </xf>
    <xf numFmtId="0" fontId="5" fillId="5" borderId="4" xfId="0" applyFont="1" applyFill="1" applyBorder="1" applyAlignment="1"/>
    <xf numFmtId="49" fontId="6" fillId="6" borderId="5" xfId="0" applyNumberFormat="1" applyFont="1" applyFill="1" applyBorder="1" applyAlignment="1"/>
    <xf numFmtId="0" fontId="7" fillId="7" borderId="6" xfId="0" applyFont="1" applyFill="1" applyBorder="1" applyAlignment="1">
      <alignment horizontal="center" wrapText="1"/>
    </xf>
    <xf numFmtId="49" fontId="8" fillId="8" borderId="7" xfId="0" applyNumberFormat="1" applyFont="1" applyFill="1" applyBorder="1" applyAlignment="1"/>
    <xf numFmtId="49" fontId="9" fillId="9" borderId="8" xfId="0" applyNumberFormat="1" applyFont="1" applyFill="1" applyBorder="1" applyAlignment="1">
      <alignment vertical="top"/>
    </xf>
    <xf numFmtId="0" fontId="10" fillId="0" borderId="9" xfId="0" applyFont="1" applyBorder="1" applyAlignment="1">
      <alignment vertical="center"/>
    </xf>
    <xf numFmtId="49" fontId="11" fillId="10" borderId="11" xfId="0" applyNumberFormat="1" applyFont="1" applyFill="1" applyBorder="1" applyAlignment="1">
      <alignment vertical="top"/>
    </xf>
    <xf numFmtId="49" fontId="12" fillId="11" borderId="12" xfId="0" applyNumberFormat="1" applyFont="1" applyFill="1" applyBorder="1" applyAlignment="1"/>
    <xf numFmtId="15" fontId="13" fillId="12" borderId="13" xfId="0" applyNumberFormat="1" applyFont="1" applyFill="1" applyBorder="1" applyAlignment="1"/>
    <xf numFmtId="0" fontId="14" fillId="13" borderId="14" xfId="0" applyFont="1" applyFill="1" applyBorder="1" applyAlignment="1"/>
    <xf numFmtId="0" fontId="15" fillId="14" borderId="15" xfId="0" applyFont="1" applyFill="1" applyBorder="1" applyAlignment="1">
      <alignment wrapText="1"/>
    </xf>
    <xf numFmtId="0" fontId="16" fillId="15" borderId="16" xfId="0" applyFont="1" applyFill="1" applyBorder="1" applyAlignment="1">
      <alignment horizontal="center" wrapText="1"/>
    </xf>
    <xf numFmtId="0" fontId="17" fillId="16" borderId="17" xfId="0" applyFont="1" applyFill="1" applyBorder="1" applyAlignment="1"/>
    <xf numFmtId="0" fontId="19" fillId="18" borderId="18" xfId="0" applyFont="1" applyFill="1" applyBorder="1" applyAlignment="1"/>
    <xf numFmtId="49" fontId="20" fillId="19" borderId="19" xfId="0" applyNumberFormat="1" applyFont="1" applyFill="1" applyBorder="1" applyAlignment="1"/>
    <xf numFmtId="0" fontId="21" fillId="20" borderId="20" xfId="0" applyFont="1" applyFill="1" applyBorder="1" applyAlignment="1"/>
    <xf numFmtId="0" fontId="22" fillId="21" borderId="21" xfId="0" applyFont="1" applyFill="1" applyBorder="1" applyAlignment="1">
      <alignment vertical="top"/>
    </xf>
    <xf numFmtId="49" fontId="23" fillId="22" borderId="22" xfId="0" applyNumberFormat="1" applyFont="1" applyFill="1" applyBorder="1" applyAlignment="1">
      <alignment horizontal="left" vertical="top" wrapText="1"/>
    </xf>
    <xf numFmtId="49" fontId="25" fillId="25" borderId="24" xfId="0" applyNumberFormat="1" applyFont="1" applyFill="1" applyBorder="1" applyAlignment="1">
      <alignment horizontal="left" vertical="top" wrapText="1"/>
    </xf>
    <xf numFmtId="49" fontId="23" fillId="24" borderId="23" xfId="0" applyNumberFormat="1" applyFont="1" applyFill="1" applyBorder="1" applyAlignment="1">
      <alignment horizontal="left" vertical="top"/>
    </xf>
    <xf numFmtId="0" fontId="18" fillId="17" borderId="19" xfId="0" applyFont="1" applyFill="1" applyBorder="1" applyAlignment="1"/>
    <xf numFmtId="0" fontId="4" fillId="4" borderId="23" xfId="0" applyFont="1" applyFill="1" applyBorder="1" applyAlignment="1"/>
    <xf numFmtId="49" fontId="24" fillId="23" borderId="23" xfId="0" applyNumberFormat="1" applyFont="1" applyFill="1" applyBorder="1" applyAlignment="1">
      <alignment horizontal="left" vertical="top" wrapText="1"/>
    </xf>
    <xf numFmtId="0" fontId="27" fillId="0" borderId="10" xfId="0" applyNumberFormat="1" applyFont="1" applyBorder="1" applyAlignment="1">
      <alignment horizontal="left" vertical="center" wrapText="1"/>
    </xf>
    <xf numFmtId="0" fontId="28" fillId="0" borderId="10" xfId="0" applyNumberFormat="1" applyFont="1" applyBorder="1" applyAlignment="1">
      <alignment horizontal="left" vertical="center" wrapText="1"/>
    </xf>
    <xf numFmtId="0" fontId="29" fillId="0" borderId="10" xfId="0" applyNumberFormat="1" applyFont="1" applyBorder="1" applyAlignment="1">
      <alignment horizontal="left" vertical="center" wrapText="1"/>
    </xf>
    <xf numFmtId="0" fontId="31" fillId="0" borderId="25" xfId="0" applyFont="1" applyBorder="1" applyAlignment="1">
      <alignment vertical="center"/>
    </xf>
    <xf numFmtId="0" fontId="32" fillId="0" borderId="26" xfId="0" applyFont="1" applyBorder="1" applyAlignment="1">
      <alignment horizontal="left" vertical="center"/>
    </xf>
    <xf numFmtId="0" fontId="33" fillId="0" borderId="10" xfId="0" applyFont="1" applyBorder="1" applyAlignment="1">
      <alignment horizontal="center" vertical="center"/>
    </xf>
    <xf numFmtId="0" fontId="35" fillId="0" borderId="26" xfId="0" applyFont="1" applyBorder="1" applyAlignment="1">
      <alignment horizontal="left" vertical="center"/>
    </xf>
    <xf numFmtId="14" fontId="36" fillId="0" borderId="26" xfId="0" applyNumberFormat="1" applyFont="1" applyBorder="1" applyAlignment="1">
      <alignment horizontal="left" vertical="center"/>
    </xf>
    <xf numFmtId="0" fontId="33" fillId="0" borderId="28" xfId="0" applyFont="1" applyBorder="1" applyAlignment="1">
      <alignment horizontal="center" vertical="center"/>
    </xf>
    <xf numFmtId="0" fontId="31" fillId="0" borderId="26" xfId="0" applyFont="1" applyBorder="1" applyAlignment="1">
      <alignment vertical="center"/>
    </xf>
    <xf numFmtId="0" fontId="34" fillId="26" borderId="27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33" fillId="26" borderId="27" xfId="0" applyFont="1" applyFill="1" applyBorder="1" applyAlignment="1">
      <alignment horizontal="left" vertical="center"/>
    </xf>
    <xf numFmtId="0" fontId="34" fillId="26" borderId="27" xfId="0" applyFont="1" applyFill="1" applyBorder="1" applyAlignment="1">
      <alignment horizontal="left" vertical="center"/>
    </xf>
    <xf numFmtId="0" fontId="33" fillId="26" borderId="29" xfId="0" applyFont="1" applyFill="1" applyBorder="1" applyAlignment="1">
      <alignment horizontal="lef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4"/>
  <sheetViews>
    <sheetView tabSelected="1" zoomScale="96" workbookViewId="0">
      <selection activeCell="A12" sqref="A12"/>
    </sheetView>
  </sheetViews>
  <sheetFormatPr defaultColWidth="14" defaultRowHeight="13.8" x14ac:dyDescent="0.25"/>
  <cols>
    <col min="1" max="1" width="39" customWidth="1"/>
    <col min="2" max="2" width="40.375" bestFit="1" customWidth="1"/>
    <col min="3" max="3" width="26.75" customWidth="1"/>
    <col min="4" max="4" width="9" customWidth="1"/>
    <col min="5" max="5" width="30" customWidth="1"/>
    <col min="6" max="6" width="31" customWidth="1"/>
    <col min="7" max="7" width="27.625" bestFit="1" customWidth="1"/>
    <col min="8" max="8" width="30.625" customWidth="1"/>
    <col min="9" max="9" width="69" customWidth="1"/>
    <col min="10" max="10" width="13" customWidth="1"/>
    <col min="11" max="11" width="48" customWidth="1"/>
    <col min="12" max="12" width="13.25" customWidth="1"/>
    <col min="13" max="19" width="9" customWidth="1"/>
  </cols>
  <sheetData>
    <row r="1" spans="1:19" ht="23.1" customHeight="1" thickTop="1" x14ac:dyDescent="0.3">
      <c r="A1" s="10" t="s">
        <v>0</v>
      </c>
      <c r="B1" s="17"/>
      <c r="C1" s="18"/>
      <c r="D1" s="15"/>
      <c r="E1" s="11" t="s">
        <v>1</v>
      </c>
      <c r="F1" s="12"/>
      <c r="G1" s="13"/>
      <c r="H1" s="11" t="s">
        <v>2</v>
      </c>
      <c r="I1" s="14"/>
      <c r="J1" s="16"/>
      <c r="K1" s="16"/>
      <c r="L1" s="24"/>
      <c r="M1" s="1"/>
      <c r="N1" s="1"/>
      <c r="O1" s="1"/>
      <c r="P1" s="1"/>
      <c r="Q1" s="1"/>
      <c r="R1" s="1"/>
      <c r="S1" s="1"/>
    </row>
    <row r="2" spans="1:19" ht="19.05" customHeight="1" x14ac:dyDescent="0.3">
      <c r="A2" s="8" t="s">
        <v>3</v>
      </c>
      <c r="B2" s="4"/>
      <c r="C2" s="5"/>
      <c r="D2" s="6"/>
      <c r="E2" s="7" t="s">
        <v>4</v>
      </c>
      <c r="F2" s="2"/>
      <c r="G2" s="2"/>
      <c r="H2" s="3"/>
      <c r="I2" s="3"/>
      <c r="J2" s="4"/>
      <c r="K2" s="4"/>
      <c r="L2" s="25"/>
      <c r="M2" s="1"/>
      <c r="N2" s="1"/>
      <c r="O2" s="1"/>
      <c r="P2" s="1"/>
      <c r="Q2" s="1"/>
      <c r="R2" s="1"/>
      <c r="S2" s="1"/>
    </row>
    <row r="3" spans="1:19" ht="19.05" customHeight="1" x14ac:dyDescent="0.3">
      <c r="A3" s="20"/>
      <c r="B3" s="4"/>
      <c r="C3" s="5"/>
      <c r="D3" s="6"/>
      <c r="E3" s="19"/>
      <c r="F3" s="4"/>
      <c r="G3" s="4"/>
      <c r="H3" s="3"/>
      <c r="I3" s="3"/>
      <c r="J3" s="4"/>
      <c r="K3" s="4"/>
      <c r="L3" s="25"/>
      <c r="M3" s="1"/>
      <c r="N3" s="1"/>
      <c r="O3" s="1"/>
      <c r="P3" s="1"/>
      <c r="Q3" s="1"/>
      <c r="R3" s="1"/>
      <c r="S3" s="1"/>
    </row>
    <row r="4" spans="1:19" ht="19.05" customHeight="1" x14ac:dyDescent="0.3">
      <c r="A4" s="20"/>
      <c r="B4" s="4"/>
      <c r="C4" s="5"/>
      <c r="D4" s="6"/>
      <c r="E4" s="19"/>
      <c r="F4" s="4"/>
      <c r="G4" s="4"/>
      <c r="H4" s="3"/>
      <c r="I4" s="3"/>
      <c r="J4" s="4"/>
      <c r="K4" s="4"/>
      <c r="L4" s="25"/>
      <c r="M4" s="1"/>
      <c r="N4" s="1"/>
      <c r="O4" s="1"/>
      <c r="P4" s="1"/>
      <c r="Q4" s="1"/>
      <c r="R4" s="1"/>
      <c r="S4" s="1"/>
    </row>
    <row r="5" spans="1:19" ht="16.05" customHeight="1" x14ac:dyDescent="0.25">
      <c r="A5" s="22" t="s">
        <v>5</v>
      </c>
      <c r="B5" s="21" t="s">
        <v>13</v>
      </c>
      <c r="C5" s="21" t="s">
        <v>16</v>
      </c>
      <c r="D5" s="21" t="s">
        <v>6</v>
      </c>
      <c r="E5" s="21" t="s">
        <v>7</v>
      </c>
      <c r="F5" s="21" t="s">
        <v>14</v>
      </c>
      <c r="G5" s="23" t="s">
        <v>17</v>
      </c>
      <c r="H5" s="21" t="s">
        <v>8</v>
      </c>
      <c r="I5" s="21" t="s">
        <v>9</v>
      </c>
      <c r="J5" s="21" t="s">
        <v>10</v>
      </c>
      <c r="K5" s="21" t="s">
        <v>11</v>
      </c>
      <c r="L5" s="26" t="s">
        <v>12</v>
      </c>
      <c r="M5" s="1"/>
      <c r="N5" s="1"/>
      <c r="O5" s="1"/>
      <c r="P5" s="1"/>
      <c r="Q5" s="1"/>
      <c r="R5" s="1"/>
      <c r="S5" s="1"/>
    </row>
    <row r="6" spans="1:19" ht="45" x14ac:dyDescent="0.25">
      <c r="A6" s="29" t="s">
        <v>34</v>
      </c>
      <c r="B6" s="27" t="s">
        <v>23</v>
      </c>
      <c r="C6" s="29" t="s">
        <v>24</v>
      </c>
      <c r="D6" s="28" t="s">
        <v>18</v>
      </c>
      <c r="E6" s="27" t="s">
        <v>29</v>
      </c>
      <c r="F6" s="27" t="s">
        <v>30</v>
      </c>
      <c r="G6" s="27" t="s">
        <v>19</v>
      </c>
      <c r="H6" s="27" t="s">
        <v>31</v>
      </c>
      <c r="I6" s="27" t="str">
        <f t="shared" ref="I6" si="0">(A6&amp; " access " &amp;F6)</f>
        <v>案例1：三化平台网关 access 能力提供方系统，服务入口</v>
      </c>
      <c r="J6" s="27" t="s">
        <v>20</v>
      </c>
      <c r="K6" s="27" t="s">
        <v>21</v>
      </c>
      <c r="L6" s="27" t="s">
        <v>22</v>
      </c>
      <c r="M6" s="9"/>
      <c r="N6" s="9"/>
      <c r="O6" s="9"/>
      <c r="P6" s="9"/>
      <c r="Q6" s="9"/>
      <c r="R6" s="9"/>
      <c r="S6" s="9"/>
    </row>
    <row r="7" spans="1:19" ht="45" x14ac:dyDescent="0.25">
      <c r="A7" s="29" t="s">
        <v>26</v>
      </c>
      <c r="B7" s="27" t="s">
        <v>25</v>
      </c>
      <c r="C7" s="27" t="s">
        <v>33</v>
      </c>
      <c r="D7" s="28" t="s">
        <v>18</v>
      </c>
      <c r="E7" s="27" t="s">
        <v>15</v>
      </c>
      <c r="F7" s="27" t="s">
        <v>27</v>
      </c>
      <c r="G7" s="29" t="s">
        <v>28</v>
      </c>
      <c r="H7" s="27" t="s">
        <v>32</v>
      </c>
      <c r="I7" s="27" t="str">
        <f t="shared" ref="I7" si="1">(A7&amp; " access " &amp;F7)</f>
        <v>案例2：调用方系统 access 三化平台，网关服务入口</v>
      </c>
      <c r="J7" s="27" t="s">
        <v>20</v>
      </c>
      <c r="K7" s="27" t="s">
        <v>21</v>
      </c>
      <c r="L7" s="27" t="s">
        <v>22</v>
      </c>
      <c r="M7" s="9"/>
      <c r="N7" s="9"/>
      <c r="O7" s="9"/>
      <c r="P7" s="9"/>
      <c r="Q7" s="9"/>
      <c r="R7" s="9"/>
      <c r="S7" s="9"/>
    </row>
    <row r="9" spans="1:19" ht="30" customHeight="1" x14ac:dyDescent="0.25">
      <c r="A9" s="29"/>
      <c r="B9" s="30" t="s">
        <v>35</v>
      </c>
      <c r="C9" s="30" t="s">
        <v>36</v>
      </c>
      <c r="D9" s="31" t="s">
        <v>37</v>
      </c>
      <c r="E9" s="30" t="s">
        <v>38</v>
      </c>
      <c r="F9" s="32" t="s">
        <v>39</v>
      </c>
      <c r="G9" s="40" t="s">
        <v>40</v>
      </c>
      <c r="H9" s="39" t="s">
        <v>41</v>
      </c>
      <c r="I9" s="30"/>
      <c r="J9" s="30" t="s">
        <v>42</v>
      </c>
      <c r="K9" s="33" t="s">
        <v>43</v>
      </c>
      <c r="L9" s="34">
        <v>46050</v>
      </c>
      <c r="M9" s="9"/>
      <c r="N9" s="9"/>
      <c r="O9" s="9"/>
      <c r="P9" s="9"/>
      <c r="Q9" s="9"/>
      <c r="R9" s="9"/>
      <c r="S9" s="9"/>
    </row>
    <row r="10" spans="1:19" ht="15" x14ac:dyDescent="0.25">
      <c r="B10" s="30" t="s">
        <v>44</v>
      </c>
      <c r="C10" s="30" t="s">
        <v>45</v>
      </c>
      <c r="D10" s="31" t="s">
        <v>37</v>
      </c>
      <c r="E10" s="30" t="s">
        <v>38</v>
      </c>
      <c r="F10" s="35" t="s">
        <v>46</v>
      </c>
      <c r="G10" s="41" t="s">
        <v>47</v>
      </c>
      <c r="H10" s="38">
        <v>8080</v>
      </c>
      <c r="I10" s="30"/>
      <c r="J10" s="30" t="s">
        <v>42</v>
      </c>
      <c r="K10" s="33" t="s">
        <v>43</v>
      </c>
      <c r="L10" s="34">
        <v>46050</v>
      </c>
    </row>
    <row r="11" spans="1:19" ht="15" x14ac:dyDescent="0.25">
      <c r="B11" s="30" t="s">
        <v>44</v>
      </c>
      <c r="C11" s="30" t="s">
        <v>45</v>
      </c>
      <c r="D11" s="31" t="s">
        <v>37</v>
      </c>
      <c r="E11" s="30" t="s">
        <v>38</v>
      </c>
      <c r="F11" s="35" t="s">
        <v>48</v>
      </c>
      <c r="G11" s="41" t="s">
        <v>49</v>
      </c>
      <c r="H11" s="38">
        <v>80</v>
      </c>
      <c r="I11" s="30"/>
      <c r="J11" s="30" t="s">
        <v>42</v>
      </c>
      <c r="K11" s="33" t="s">
        <v>43</v>
      </c>
      <c r="L11" s="34">
        <v>46050</v>
      </c>
    </row>
    <row r="12" spans="1:19" ht="15" x14ac:dyDescent="0.25">
      <c r="A12" s="30" t="s">
        <v>38</v>
      </c>
      <c r="B12" s="32" t="s">
        <v>39</v>
      </c>
      <c r="C12" s="37" t="s">
        <v>40</v>
      </c>
      <c r="D12" s="31" t="s">
        <v>37</v>
      </c>
      <c r="E12" s="36"/>
      <c r="F12" s="30" t="s">
        <v>50</v>
      </c>
      <c r="G12" s="30" t="s">
        <v>51</v>
      </c>
      <c r="H12" s="36" t="s">
        <v>52</v>
      </c>
      <c r="I12" s="36"/>
      <c r="J12" s="30" t="s">
        <v>42</v>
      </c>
      <c r="K12" s="33" t="s">
        <v>43</v>
      </c>
      <c r="L12" s="34">
        <v>46050</v>
      </c>
    </row>
    <row r="13" spans="1:19" ht="15" x14ac:dyDescent="0.25">
      <c r="A13" s="30" t="s">
        <v>38</v>
      </c>
      <c r="B13" s="35" t="s">
        <v>46</v>
      </c>
      <c r="C13" s="38" t="s">
        <v>47</v>
      </c>
      <c r="D13" s="31" t="s">
        <v>37</v>
      </c>
      <c r="E13" s="36"/>
      <c r="F13" s="30" t="s">
        <v>53</v>
      </c>
      <c r="G13" s="30" t="s">
        <v>54</v>
      </c>
      <c r="H13" s="36" t="s">
        <v>52</v>
      </c>
      <c r="I13" s="36"/>
      <c r="J13" s="30" t="s">
        <v>42</v>
      </c>
      <c r="K13" s="33" t="s">
        <v>43</v>
      </c>
      <c r="L13" s="34">
        <v>46050</v>
      </c>
    </row>
    <row r="14" spans="1:19" ht="15" x14ac:dyDescent="0.25">
      <c r="A14" s="30" t="s">
        <v>38</v>
      </c>
      <c r="B14" s="35" t="s">
        <v>48</v>
      </c>
      <c r="C14" s="38" t="s">
        <v>49</v>
      </c>
      <c r="D14" s="31" t="s">
        <v>37</v>
      </c>
      <c r="E14" s="36"/>
      <c r="F14" s="30" t="s">
        <v>53</v>
      </c>
      <c r="G14" s="30" t="s">
        <v>54</v>
      </c>
      <c r="H14" s="36" t="s">
        <v>52</v>
      </c>
      <c r="I14" s="36"/>
      <c r="J14" s="30" t="s">
        <v>42</v>
      </c>
      <c r="K14" s="33" t="s">
        <v>43</v>
      </c>
      <c r="L14" s="34">
        <v>46050</v>
      </c>
    </row>
  </sheetData>
  <phoneticPr fontId="26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CHEN Guohua</dc:creator>
  <cp:lastModifiedBy>Leo LEUNG Ka Ho</cp:lastModifiedBy>
  <dcterms:created xsi:type="dcterms:W3CDTF">2024-09-25T02:35:24Z</dcterms:created>
  <dcterms:modified xsi:type="dcterms:W3CDTF">2026-01-28T10:21:54Z</dcterms:modified>
</cp:coreProperties>
</file>